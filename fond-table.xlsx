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1" autoFilterDateGrouping="1"/>
  </bookViews>
  <sheets>
    <sheet xmlns:r="http://schemas.openxmlformats.org/officeDocument/2006/relationships" name="Дашборд" sheetId="1" state="visible" r:id="rId1"/>
    <sheet xmlns:r="http://schemas.openxmlformats.org/officeDocument/2006/relationships" name="Обложка" sheetId="2" state="visible" r:id="rId2"/>
    <sheet xmlns:r="http://schemas.openxmlformats.org/officeDocument/2006/relationships" name="Реестр" sheetId="3" state="visible" r:id="rId3"/>
    <sheet xmlns:r="http://schemas.openxmlformats.org/officeDocument/2006/relationships" name="Исправления" sheetId="4" state="visible" r:id="rId4"/>
    <sheet xmlns:r="http://schemas.openxmlformats.org/officeDocument/2006/relationships" name="Личные дела" sheetId="5" state="visible" r:id="rId5"/>
    <sheet xmlns:r="http://schemas.openxmlformats.org/officeDocument/2006/relationships" name="Статистика" sheetId="6" state="visible" r:id="rId6"/>
    <sheet xmlns:r="http://schemas.openxmlformats.org/officeDocument/2006/relationships" name="Восстановление" sheetId="7" state="visible" r:id="rId7"/>
    <sheet xmlns:r="http://schemas.openxmlformats.org/officeDocument/2006/relationships" name="Хронология" sheetId="8" state="visible" r:id="rId8"/>
  </sheets>
  <definedNames>
    <definedName name="_xlnm._FilterDatabase" localSheetId="2" hidden="1">'Реестр'!$A$1:$U$35</definedName>
  </definedNames>
  <calcPr calcId="124519" fullCalcOnLoad="1"/>
</workbook>
</file>

<file path=xl/styles.xml><?xml version="1.0" encoding="utf-8"?>
<styleSheet xmlns="http://schemas.openxmlformats.org/spreadsheetml/2006/main">
  <numFmts count="14">
    <numFmt numFmtId="164" formatCode="0&quot; ГБ&quot;"/>
    <numFmt numFmtId="165" formatCode="0.###&quot; ГБ&quot;"/>
    <numFmt numFmtId="166" formatCode="0.0&quot; ″&quot;"/>
    <numFmt numFmtId="167" formatCode="0&quot; Гц&quot;"/>
    <numFmt numFmtId="168" formatCode="#,##0&quot; мАч&quot;"/>
    <numFmt numFmtId="169" formatCode="0&quot; МП&quot;"/>
    <numFmt numFmtId="170" formatCode="0.0&quot; ГГц&quot;"/>
    <numFmt numFmtId="171" formatCode="0&quot; Вт&quot;"/>
    <numFmt numFmtId="172" formatCode="#,##0&quot; ₽&quot;"/>
    <numFmt numFmtId="173" formatCode="# ##0 ₽"/>
    <numFmt numFmtId="174" formatCode="#,##0 &quot;₽&quot;"/>
    <numFmt numFmtId="175" formatCode="# ##0"/>
    <numFmt numFmtId="176" formatCode="0&quot; шт&quot;"/>
    <numFmt numFmtId="177" formatCode="# ##0&quot; ₽&quot;"/>
  </numFmts>
  <fonts count="67">
    <font>
      <name val="Calibri"/>
      <sz val="11"/>
    </font>
    <font>
      <name val="Georgia"/>
      <b val="1"/>
      <color rgb="FF6B5211"/>
      <sz val="16"/>
    </font>
    <font>
      <name val="Georgia"/>
      <b val="1"/>
      <color rgb="FF3B2F1E"/>
      <sz val="10"/>
    </font>
    <font>
      <name val="Georgia"/>
      <color rgb="FF3B2F1E"/>
      <sz val="10"/>
    </font>
    <font>
      <name val="Georgia"/>
      <b val="1"/>
      <color rgb="FF6B5211"/>
      <sz val="12"/>
    </font>
    <font>
      <name val="Calibri"/>
      <i val="1"/>
      <color rgb="FF5C4A1E"/>
      <sz val="9"/>
    </font>
    <font>
      <name val="Georgia"/>
      <b val="1"/>
      <color rgb="FFFFFFFF"/>
      <sz val="10"/>
    </font>
    <font>
      <name val="Calibri"/>
      <b val="1"/>
      <color rgb="FF3E2F1C"/>
      <sz val="11"/>
    </font>
    <font>
      <name val="Calibri"/>
      <color rgb="FF1F4E79"/>
      <sz val="11"/>
      <u val="single"/>
    </font>
    <font>
      <name val="Calibri"/>
      <color rgb="FF000000"/>
      <sz val="11"/>
    </font>
    <font>
      <name val="Calibri"/>
      <b val="1"/>
      <color rgb="FF3E2F1C"/>
      <sz val="16"/>
    </font>
    <font>
      <name val="Calibri"/>
      <i val="1"/>
      <color rgb="FF8A7A5C"/>
      <sz val="9"/>
    </font>
    <font>
      <name val="Calibri"/>
      <b val="1"/>
      <color rgb="FF3E2F1C"/>
      <sz val="11"/>
    </font>
    <font>
      <name val="Calibri"/>
      <sz val="10"/>
    </font>
    <font>
      <name val="Calibri"/>
      <b val="1"/>
      <color rgb="FF5C4A1E"/>
      <sz val="10"/>
    </font>
    <font>
      <name val="Calibri"/>
      <b val="1"/>
      <color rgb="FF3E2F1C"/>
      <sz val="12"/>
    </font>
    <font>
      <name val="Calibri"/>
      <b val="1"/>
      <color rgb="FF3E2F1C"/>
      <sz val="9"/>
    </font>
    <font>
      <name val="Calibri"/>
      <b val="1"/>
      <sz val="11"/>
    </font>
    <font>
      <name val="Calibri"/>
      <sz val="9"/>
    </font>
    <font>
      <name val="Calibri"/>
      <b val="1"/>
      <color rgb="FF3E2F1C"/>
      <sz val="10"/>
    </font>
    <font>
      <name val="Calibri"/>
      <color rgb="FF5C4A1E"/>
      <sz val="8"/>
    </font>
    <font>
      <name val="Calibri"/>
      <b val="1"/>
      <sz val="9"/>
    </font>
    <font>
      <name val="Calibri"/>
      <b val="1"/>
      <color rgb="FF3E2F1C"/>
      <sz val="14"/>
    </font>
    <font>
      <name val="Calibri"/>
      <color rgb="FF5C4A1E"/>
      <sz val="9"/>
    </font>
    <font>
      <name val="Georgia"/>
      <b val="1"/>
      <color rgb="00C9A45C"/>
      <sz val="15"/>
    </font>
    <font>
      <name val="Verdana"/>
      <i val="1"/>
      <color rgb="006B5B45"/>
      <sz val="8"/>
    </font>
    <font>
      <name val="Verdana"/>
      <b val="1"/>
      <color rgb="003E3428"/>
      <sz val="9"/>
    </font>
    <font>
      <name val="Verdana"/>
      <b val="1"/>
      <color rgb="008C4A3C"/>
      <sz val="10"/>
    </font>
    <font>
      <name val="Verdana"/>
      <b val="1"/>
      <color rgb="00C9A45C"/>
      <sz val="8"/>
    </font>
    <font>
      <name val="Verdana"/>
      <color rgb="003E3428"/>
      <sz val="8"/>
    </font>
    <font>
      <name val="Verdana"/>
      <color rgb="005B7EA6"/>
      <sz val="8"/>
      <u val="single"/>
    </font>
    <font>
      <name val="Verdana"/>
      <i val="1"/>
      <color rgb="008A8A82"/>
      <sz val="8"/>
    </font>
    <font>
      <name val="Verdana"/>
      <b val="1"/>
      <color rgb="003E3428"/>
      <sz val="8"/>
    </font>
    <font>
      <name val="Verdana"/>
      <i val="1"/>
      <color rgb="008C4A3C"/>
      <sz val="8"/>
    </font>
    <font>
      <name val="Verdana"/>
      <i val="1"/>
      <color rgb="005B7EA6"/>
      <sz val="8"/>
    </font>
    <font>
      <name val="Verdana"/>
      <b val="1"/>
      <color rgb="00C9A45C"/>
      <sz val="9"/>
    </font>
    <font>
      <name val="Verdana"/>
      <i val="1"/>
      <color rgb="006B5B45"/>
      <sz val="7.5"/>
    </font>
    <font>
      <b val="1"/>
      <sz val="11"/>
    </font>
    <font>
      <b val="1"/>
      <color rgb="004A3728"/>
      <sz val="14"/>
    </font>
    <font>
      <i val="1"/>
      <color rgb="008A7A66"/>
      <sz val="9"/>
    </font>
    <font>
      <b val="1"/>
      <color rgb="00FFFFFF"/>
    </font>
    <font>
      <b val="1"/>
    </font>
    <font>
      <b val="1"/>
      <i val="1"/>
      <sz val="9"/>
    </font>
    <font>
      <b val="1"/>
      <color rgb="007B5A00"/>
      <sz val="18"/>
    </font>
    <font>
      <i val="1"/>
      <color rgb="00808080"/>
      <sz val="10"/>
    </font>
    <font>
      <b val="1"/>
      <color rgb="001F3864"/>
      <sz val="20"/>
    </font>
    <font>
      <color rgb="00808080"/>
      <sz val="10"/>
    </font>
    <font>
      <b val="1"/>
      <color rgb="007B5A00"/>
      <sz val="13"/>
    </font>
    <font>
      <sz val="11"/>
    </font>
    <font>
      <b val="1"/>
      <color rgb="007B5A00"/>
      <sz val="20"/>
    </font>
    <font>
      <b val="1"/>
      <color rgb="007B5A00"/>
      <sz val="14"/>
    </font>
    <font>
      <b val="1"/>
      <color rgb="007B5A00"/>
      <sz val="11"/>
    </font>
    <font>
      <b val="1"/>
      <color rgb="007A5C2E"/>
      <sz val="13"/>
    </font>
    <font>
      <b val="1"/>
      <color rgb="007A5C2E"/>
      <sz val="11"/>
    </font>
    <font>
      <color rgb="002E5E8C"/>
      <sz val="11"/>
    </font>
    <font>
      <color rgb="008C5A2E"/>
      <sz val="11"/>
    </font>
    <font>
      <color rgb="002E7D4F"/>
      <sz val="11"/>
    </font>
    <font>
      <name val="Georgia"/>
      <strike val="1"/>
      <color rgb="FF3B2F1E"/>
      <sz val="10"/>
    </font>
    <font>
      <name val="Arial"/>
      <b val="1"/>
      <strike val="1"/>
      <color rgb="FFE60000"/>
      <sz val="11"/>
    </font>
    <font>
      <b val="1"/>
      <color rgb="001F2A5A"/>
      <sz val="18"/>
    </font>
    <font>
      <color rgb="008FA0BD"/>
      <sz val="11"/>
    </font>
    <font>
      <b val="1"/>
      <color rgb="0015803D"/>
      <sz val="13"/>
    </font>
    <font>
      <b val="1"/>
      <color rgb="001565C0"/>
    </font>
    <font>
      <b val="1"/>
      <color rgb="001F2A5A"/>
      <sz val="12"/>
    </font>
    <font>
      <color rgb="001565C0"/>
    </font>
    <font>
      <i val="1"/>
      <color rgb="008FA0BD"/>
    </font>
    <font>
      <i val="1"/>
      <color rgb="00999999"/>
      <sz val="9"/>
    </font>
  </fonts>
  <fills count="21">
    <fill>
      <patternFill/>
    </fill>
    <fill>
      <patternFill patternType="gray125"/>
    </fill>
    <fill>
      <patternFill patternType="solid">
        <fgColor rgb="FFFBF6E9"/>
      </patternFill>
    </fill>
    <fill>
      <patternFill patternType="solid">
        <fgColor rgb="FFFFF3C4"/>
      </patternFill>
    </fill>
    <fill>
      <patternFill patternType="solid">
        <fgColor rgb="FFFFE0B2"/>
      </patternFill>
    </fill>
    <fill>
      <patternFill patternType="solid">
        <fgColor rgb="FFE1BEE7"/>
      </patternFill>
    </fill>
    <fill>
      <patternFill patternType="solid">
        <fgColor rgb="FFB3E5FC"/>
      </patternFill>
    </fill>
    <fill>
      <patternFill patternType="solid">
        <fgColor rgb="FFFFCCBC"/>
      </patternFill>
    </fill>
    <fill>
      <patternFill patternType="solid">
        <fgColor rgb="FFDCEDC8"/>
      </patternFill>
    </fill>
    <fill>
      <patternFill patternType="solid">
        <fgColor rgb="FFECEFF1"/>
      </patternFill>
    </fill>
    <fill>
      <patternFill patternType="solid">
        <fgColor rgb="FF8B6914"/>
      </patternFill>
    </fill>
    <fill>
      <patternFill patternType="solid">
        <fgColor rgb="FFC9A86A"/>
      </patternFill>
    </fill>
    <fill>
      <patternFill patternType="solid">
        <fgColor rgb="FFF3EBD3"/>
      </patternFill>
    </fill>
    <fill>
      <patternFill patternType="solid">
        <fgColor rgb="003E3428"/>
      </patternFill>
    </fill>
    <fill>
      <patternFill patternType="solid">
        <fgColor rgb="00FFF3D6"/>
      </patternFill>
    </fill>
    <fill>
      <patternFill patternType="solid">
        <fgColor rgb="00FBF7EC"/>
      </patternFill>
    </fill>
    <fill>
      <patternFill patternType="solid">
        <fgColor rgb="00C9A86A"/>
      </patternFill>
    </fill>
    <fill>
      <patternFill patternType="solid">
        <fgColor rgb="00F7F2E7"/>
      </patternFill>
    </fill>
    <fill>
      <patternFill patternType="solid">
        <fgColor rgb="00F2E8D5"/>
      </patternFill>
    </fill>
    <fill>
      <patternFill patternType="solid">
        <fgColor rgb="00FDF6E3"/>
      </patternFill>
    </fill>
    <fill>
      <patternFill patternType="solid">
        <fgColor rgb="FFFDE3E3"/>
        <bgColor rgb="FFFDE3E3"/>
      </patternFill>
    </fill>
  </fills>
  <borders count="6">
    <border>
      <left/>
      <right/>
      <top/>
      <bottom/>
      <diagonal/>
    </border>
    <border>
      <left style="thin">
        <color rgb="FFC9A96A"/>
      </left>
      <right style="thin">
        <color rgb="FFC9A96A"/>
      </right>
      <top style="thin">
        <color rgb="FFC9A96A"/>
      </top>
      <bottom style="thin">
        <color rgb="FFC9A96A"/>
      </bottom>
      <diagonal/>
    </border>
    <border>
      <left style="thin">
        <color rgb="00B8A88A"/>
      </left>
      <right style="thin">
        <color rgb="00B8A88A"/>
      </right>
      <top style="thin">
        <color rgb="00B8A88A"/>
      </top>
      <bottom style="thin">
        <color rgb="00B8A88A"/>
      </bottom>
    </border>
    <border>
      <left style="thin">
        <color rgb="00D9CDB8"/>
      </left>
      <right style="thin">
        <color rgb="00D9CDB8"/>
      </right>
      <top style="thin">
        <color rgb="00D9CDB8"/>
      </top>
      <bottom style="thin">
        <color rgb="00D9CDB8"/>
      </bottom>
    </border>
    <border>
      <left style="thin">
        <color rgb="00D9CDB8"/>
      </left>
      <right style="thin">
        <color rgb="00D9CDB8"/>
      </right>
      <top style="medium">
        <color rgb="00C9A86A"/>
      </top>
      <bottom style="thin">
        <color rgb="00D9CDB8"/>
      </bottom>
    </border>
    <border>
      <bottom style="thin">
        <color rgb="00B9C2D9"/>
      </bottom>
    </border>
  </borders>
  <cellStyleXfs count="1">
    <xf numFmtId="0" fontId="0" fillId="0" borderId="0" applyAlignment="1">
      <alignment vertical="center"/>
    </xf>
  </cellStyleXfs>
  <cellXfs count="143">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2" borderId="0" applyAlignment="1" pivotButton="0" quotePrefix="0" xfId="0">
      <alignment vertical="bottom"/>
    </xf>
    <xf numFmtId="0" fontId="3" fillId="2" borderId="0" applyAlignment="1" pivotButton="0" quotePrefix="0" xfId="0">
      <alignment vertical="bottom"/>
    </xf>
    <xf numFmtId="0" fontId="4" fillId="0" borderId="0" applyAlignment="1" pivotButton="0" quotePrefix="0" xfId="0">
      <alignment vertical="bottom"/>
    </xf>
    <xf numFmtId="0" fontId="3" fillId="3" borderId="1" applyAlignment="1" pivotButton="0" quotePrefix="0" xfId="0">
      <alignment vertical="bottom"/>
    </xf>
    <xf numFmtId="0" fontId="3" fillId="0" borderId="0" applyAlignment="1" pivotButton="0" quotePrefix="0" xfId="0">
      <alignment vertical="bottom"/>
    </xf>
    <xf numFmtId="0" fontId="3" fillId="4" borderId="1" applyAlignment="1" pivotButton="0" quotePrefix="0" xfId="0">
      <alignment vertical="bottom"/>
    </xf>
    <xf numFmtId="0" fontId="3" fillId="5" borderId="1" applyAlignment="1" pivotButton="0" quotePrefix="0" xfId="0">
      <alignment vertical="bottom"/>
    </xf>
    <xf numFmtId="0" fontId="3" fillId="6" borderId="1" applyAlignment="1" pivotButton="0" quotePrefix="0" xfId="0">
      <alignment vertical="bottom"/>
    </xf>
    <xf numFmtId="0" fontId="3" fillId="7" borderId="1" applyAlignment="1" pivotButton="0" quotePrefix="0" xfId="0">
      <alignment vertical="bottom"/>
    </xf>
    <xf numFmtId="0" fontId="3" fillId="8" borderId="1" applyAlignment="1" pivotButton="0" quotePrefix="0" xfId="0">
      <alignment vertical="bottom"/>
    </xf>
    <xf numFmtId="0" fontId="3" fillId="9" borderId="1" applyAlignment="1" pivotButton="0" quotePrefix="0" xfId="0">
      <alignment vertical="bottom"/>
    </xf>
    <xf numFmtId="0" fontId="5" fillId="0" borderId="0" applyAlignment="1" pivotButton="0" quotePrefix="0" xfId="0">
      <alignment vertical="bottom"/>
    </xf>
    <xf numFmtId="0" fontId="6" fillId="10" borderId="1" applyAlignment="1" pivotButton="0" quotePrefix="0" xfId="0">
      <alignment horizontal="center" vertical="center" wrapText="1"/>
    </xf>
    <xf numFmtId="0" fontId="7" fillId="11" borderId="0" applyAlignment="1" pivotButton="0" quotePrefix="0" xfId="0">
      <alignment horizontal="center" vertical="bottom"/>
    </xf>
    <xf numFmtId="0" fontId="3" fillId="12" borderId="1" applyAlignment="1" pivotButton="0" quotePrefix="0" xfId="0">
      <alignment horizontal="center" vertical="top" wrapText="1"/>
    </xf>
    <xf numFmtId="0" fontId="3" fillId="12" borderId="1" applyAlignment="1" pivotButton="0" quotePrefix="0" xfId="0">
      <alignment vertical="top" wrapText="1"/>
    </xf>
    <xf numFmtId="0" fontId="3" fillId="8" borderId="1" applyAlignment="1" pivotButton="0" quotePrefix="0" xfId="0">
      <alignment horizontal="center" vertical="top" wrapText="1"/>
    </xf>
    <xf numFmtId="1" fontId="3" fillId="12" borderId="1" applyAlignment="1" pivotButton="0" quotePrefix="0" xfId="0">
      <alignment horizontal="center" vertical="top" wrapText="1"/>
    </xf>
    <xf numFmtId="164" fontId="3" fillId="12" borderId="1" applyAlignment="1" pivotButton="0" quotePrefix="0" xfId="0">
      <alignment horizontal="center" vertical="top" wrapText="1"/>
    </xf>
    <xf numFmtId="165" fontId="3" fillId="12" borderId="1" applyAlignment="1" pivotButton="0" quotePrefix="0" xfId="0">
      <alignment horizontal="center" vertical="top" wrapText="1"/>
    </xf>
    <xf numFmtId="166" fontId="3" fillId="12" borderId="1" applyAlignment="1" pivotButton="0" quotePrefix="0" xfId="0">
      <alignment horizontal="center" vertical="top" wrapText="1"/>
    </xf>
    <xf numFmtId="167" fontId="3" fillId="12" borderId="1" applyAlignment="1" pivotButton="0" quotePrefix="0" xfId="0">
      <alignment horizontal="center" vertical="top" wrapText="1"/>
    </xf>
    <xf numFmtId="168" fontId="3" fillId="12" borderId="1" applyAlignment="1" pivotButton="0" quotePrefix="0" xfId="0">
      <alignment horizontal="center" vertical="top" wrapText="1"/>
    </xf>
    <xf numFmtId="169" fontId="3" fillId="12" borderId="1" applyAlignment="1" pivotButton="0" quotePrefix="0" xfId="0">
      <alignment horizontal="center" vertical="top" wrapText="1"/>
    </xf>
    <xf numFmtId="170" fontId="3" fillId="12" borderId="1" applyAlignment="1" pivotButton="0" quotePrefix="0" xfId="0">
      <alignment horizontal="center" vertical="top" wrapText="1"/>
    </xf>
    <xf numFmtId="171" fontId="3" fillId="12" borderId="1" applyAlignment="1" pivotButton="0" quotePrefix="0" xfId="0">
      <alignment horizontal="center" vertical="top" wrapText="1"/>
    </xf>
    <xf numFmtId="172" fontId="3" fillId="12" borderId="1" applyAlignment="1" pivotButton="0" quotePrefix="0" xfId="0">
      <alignment horizontal="center" vertical="top" wrapText="1"/>
    </xf>
    <xf numFmtId="0" fontId="8" fillId="0" borderId="0" applyAlignment="1" pivotButton="0" quotePrefix="0" xfId="0">
      <alignment horizontal="center" vertical="bottom"/>
    </xf>
    <xf numFmtId="0" fontId="3" fillId="0" borderId="1" applyAlignment="1" pivotButton="0" quotePrefix="0" xfId="0">
      <alignment horizontal="center" vertical="top" wrapText="1"/>
    </xf>
    <xf numFmtId="0" fontId="3" fillId="0" borderId="1" applyAlignment="1" pivotButton="0" quotePrefix="0" xfId="0">
      <alignment vertical="top" wrapText="1"/>
    </xf>
    <xf numFmtId="1" fontId="3" fillId="0" borderId="1" applyAlignment="1" pivotButton="0" quotePrefix="0" xfId="0">
      <alignment horizontal="center" vertical="top" wrapText="1"/>
    </xf>
    <xf numFmtId="164" fontId="3" fillId="0" borderId="1" applyAlignment="1" pivotButton="0" quotePrefix="0" xfId="0">
      <alignment horizontal="center" vertical="top" wrapText="1"/>
    </xf>
    <xf numFmtId="165" fontId="3" fillId="0" borderId="1" applyAlignment="1" pivotButton="0" quotePrefix="0" xfId="0">
      <alignment horizontal="center" vertical="top" wrapText="1"/>
    </xf>
    <xf numFmtId="166" fontId="3" fillId="0" borderId="1" applyAlignment="1" pivotButton="0" quotePrefix="0" xfId="0">
      <alignment horizontal="center" vertical="top" wrapText="1"/>
    </xf>
    <xf numFmtId="167" fontId="3" fillId="0" borderId="1" applyAlignment="1" pivotButton="0" quotePrefix="0" xfId="0">
      <alignment horizontal="center" vertical="top" wrapText="1"/>
    </xf>
    <xf numFmtId="168" fontId="3" fillId="0" borderId="1" applyAlignment="1" pivotButton="0" quotePrefix="0" xfId="0">
      <alignment horizontal="center" vertical="top" wrapText="1"/>
    </xf>
    <xf numFmtId="169" fontId="3" fillId="0" borderId="1" applyAlignment="1" pivotButton="0" quotePrefix="0" xfId="0">
      <alignment horizontal="center" vertical="top" wrapText="1"/>
    </xf>
    <xf numFmtId="170" fontId="3" fillId="0" borderId="1" applyAlignment="1" pivotButton="0" quotePrefix="0" xfId="0">
      <alignment horizontal="center" vertical="top" wrapText="1"/>
    </xf>
    <xf numFmtId="171" fontId="3" fillId="0" borderId="1" applyAlignment="1" pivotButton="0" quotePrefix="0" xfId="0">
      <alignment horizontal="center" vertical="top" wrapText="1"/>
    </xf>
    <xf numFmtId="172" fontId="3" fillId="0" borderId="1" applyAlignment="1" pivotButton="0" quotePrefix="0" xfId="0">
      <alignment horizontal="center" vertical="top" wrapText="1"/>
    </xf>
    <xf numFmtId="0" fontId="3" fillId="9" borderId="1" applyAlignment="1" pivotButton="0" quotePrefix="0" xfId="0">
      <alignment horizontal="center" vertical="top" wrapText="1"/>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0" fontId="3" fillId="5" borderId="1" applyAlignment="1" pivotButton="0" quotePrefix="0" xfId="0">
      <alignment horizontal="center" vertical="top" wrapText="1"/>
    </xf>
    <xf numFmtId="0" fontId="3" fillId="7" borderId="1" applyAlignment="1" pivotButton="0" quotePrefix="0" xfId="0">
      <alignment horizontal="center" vertical="top" wrapText="1"/>
    </xf>
    <xf numFmtId="0" fontId="3" fillId="6" borderId="1" applyAlignment="1" pivotButton="0" quotePrefix="0" xfId="0">
      <alignment horizontal="center" vertical="top" wrapText="1"/>
    </xf>
    <xf numFmtId="0" fontId="3" fillId="12" borderId="1" applyAlignment="1" pivotButton="0" quotePrefix="0" xfId="0">
      <alignment horizontal="center" vertical="top"/>
    </xf>
    <xf numFmtId="0" fontId="9" fillId="12" borderId="0" applyAlignment="1" pivotButton="0" quotePrefix="0" xfId="0">
      <alignment vertical="bottom"/>
    </xf>
    <xf numFmtId="0" fontId="3" fillId="0" borderId="1" applyAlignment="1" pivotButton="0" quotePrefix="0" xfId="0">
      <alignment horizontal="center" vertical="top"/>
    </xf>
    <xf numFmtId="0" fontId="2" fillId="0" borderId="1" applyAlignment="1" pivotButton="0" quotePrefix="0" xfId="0">
      <alignment horizontal="center" vertical="top"/>
    </xf>
    <xf numFmtId="0" fontId="10" fillId="0" borderId="0" applyAlignment="1" pivotButton="0" quotePrefix="0" xfId="0">
      <alignment vertical="bottom"/>
    </xf>
    <xf numFmtId="0" fontId="11" fillId="0" borderId="0" applyAlignment="1" pivotButton="0" quotePrefix="0" xfId="0">
      <alignment vertical="bottom"/>
    </xf>
    <xf numFmtId="0" fontId="12" fillId="0" borderId="0" applyAlignment="1" pivotButton="0" quotePrefix="0" xfId="0">
      <alignment vertical="bottom"/>
    </xf>
    <xf numFmtId="0" fontId="13" fillId="0" borderId="0" applyAlignment="1" pivotButton="0" quotePrefix="0" xfId="0">
      <alignment vertical="bottom"/>
    </xf>
    <xf numFmtId="0" fontId="14" fillId="0" borderId="0" applyAlignment="1" pivotButton="0" quotePrefix="0" xfId="0">
      <alignment vertical="bottom"/>
    </xf>
    <xf numFmtId="0" fontId="15" fillId="0" borderId="0" applyAlignment="1" pivotButton="0" quotePrefix="0" xfId="0">
      <alignment vertical="bottom"/>
    </xf>
    <xf numFmtId="0" fontId="16" fillId="11" borderId="0" applyAlignment="1" pivotButton="0" quotePrefix="0" xfId="0">
      <alignment vertical="bottom"/>
    </xf>
    <xf numFmtId="0" fontId="17" fillId="0" borderId="0" applyAlignment="1" pivotButton="0" quotePrefix="0" xfId="0">
      <alignment vertical="bottom"/>
    </xf>
    <xf numFmtId="0" fontId="18"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21" fillId="0" borderId="0" applyAlignment="1" pivotButton="0" quotePrefix="0" xfId="0">
      <alignment vertical="bottom"/>
    </xf>
    <xf numFmtId="0" fontId="22" fillId="0" borderId="0" applyAlignment="1" pivotButton="0" quotePrefix="0" xfId="0">
      <alignment vertical="bottom"/>
    </xf>
    <xf numFmtId="0" fontId="7" fillId="11" borderId="0" applyAlignment="1" pivotButton="0" quotePrefix="0" xfId="0">
      <alignment vertical="bottom"/>
    </xf>
    <xf numFmtId="0" fontId="23" fillId="0" borderId="0" applyAlignment="1" pivotButton="0" quotePrefix="0" xfId="0">
      <alignment vertical="bottom"/>
    </xf>
    <xf numFmtId="0" fontId="0" fillId="0" borderId="0" pivotButton="0" quotePrefix="0" xfId="0"/>
    <xf numFmtId="0" fontId="24" fillId="13" borderId="0" applyAlignment="1" pivotButton="0" quotePrefix="0" xfId="0">
      <alignment horizontal="center" vertical="center"/>
    </xf>
    <xf numFmtId="0" fontId="25" fillId="0" borderId="0" applyAlignment="1" pivotButton="0" quotePrefix="0" xfId="0">
      <alignment horizontal="center" vertical="center"/>
    </xf>
    <xf numFmtId="0" fontId="26" fillId="0" borderId="0" pivotButton="0" quotePrefix="0" xfId="0"/>
    <xf numFmtId="2" fontId="27" fillId="14" borderId="2" applyAlignment="1" pivotButton="0" quotePrefix="0" xfId="0">
      <alignment horizontal="center"/>
    </xf>
    <xf numFmtId="0" fontId="25" fillId="0" borderId="0" pivotButton="0" quotePrefix="0" xfId="0"/>
    <xf numFmtId="0" fontId="28" fillId="13" borderId="2" applyAlignment="1" pivotButton="0" quotePrefix="0" xfId="0">
      <alignment horizontal="center" vertical="center" wrapText="1"/>
    </xf>
    <xf numFmtId="0" fontId="29" fillId="0" borderId="2" applyAlignment="1" pivotButton="0" quotePrefix="0" xfId="0">
      <alignment horizontal="center" vertical="center"/>
    </xf>
    <xf numFmtId="0" fontId="32" fillId="0" borderId="2" applyAlignment="1" pivotButton="0" quotePrefix="0" xfId="0">
      <alignment horizontal="left" vertical="center" wrapText="1"/>
    </xf>
    <xf numFmtId="0" fontId="29" fillId="0" borderId="2" applyAlignment="1" pivotButton="0" quotePrefix="0" xfId="0">
      <alignment horizontal="left" vertical="center" wrapText="1"/>
    </xf>
    <xf numFmtId="173" fontId="29" fillId="0" borderId="2" applyAlignment="1" pivotButton="0" quotePrefix="0" xfId="0">
      <alignment horizontal="center" vertical="center"/>
    </xf>
    <xf numFmtId="0" fontId="31" fillId="0" borderId="2" applyAlignment="1" pivotButton="0" quotePrefix="0" xfId="0">
      <alignment horizontal="left" vertical="center" wrapText="1"/>
    </xf>
    <xf numFmtId="0" fontId="30" fillId="0" borderId="2" applyAlignment="1" pivotButton="0" quotePrefix="0" xfId="0">
      <alignment horizontal="center" vertical="center"/>
    </xf>
    <xf numFmtId="0" fontId="29" fillId="15" borderId="2" applyAlignment="1" pivotButton="0" quotePrefix="0" xfId="0">
      <alignment horizontal="center" vertical="center"/>
    </xf>
    <xf numFmtId="0" fontId="32" fillId="15" borderId="2" applyAlignment="1" pivotButton="0" quotePrefix="0" xfId="0">
      <alignment horizontal="left" vertical="center" wrapText="1"/>
    </xf>
    <xf numFmtId="0" fontId="29" fillId="15" borderId="2" applyAlignment="1" pivotButton="0" quotePrefix="0" xfId="0">
      <alignment horizontal="left" vertical="center" wrapText="1"/>
    </xf>
    <xf numFmtId="173" fontId="29" fillId="15" borderId="2" applyAlignment="1" pivotButton="0" quotePrefix="0" xfId="0">
      <alignment horizontal="center" vertical="center"/>
    </xf>
    <xf numFmtId="0" fontId="33" fillId="15" borderId="2" applyAlignment="1" pivotButton="0" quotePrefix="0" xfId="0">
      <alignment horizontal="left" vertical="center" wrapText="1"/>
    </xf>
    <xf numFmtId="0" fontId="30" fillId="15" borderId="2" applyAlignment="1" pivotButton="0" quotePrefix="0" xfId="0">
      <alignment horizontal="center" vertical="center"/>
    </xf>
    <xf numFmtId="0" fontId="34" fillId="0" borderId="2" applyAlignment="1" pivotButton="0" quotePrefix="0" xfId="0">
      <alignment horizontal="left" vertical="center" wrapText="1"/>
    </xf>
    <xf numFmtId="0" fontId="31" fillId="15" borderId="2" applyAlignment="1" pivotButton="0" quotePrefix="0" xfId="0">
      <alignment horizontal="left" vertical="center" wrapText="1"/>
    </xf>
    <xf numFmtId="0" fontId="0" fillId="13" borderId="0" pivotButton="0" quotePrefix="0" xfId="0"/>
    <xf numFmtId="0" fontId="35" fillId="13" borderId="0" pivotButton="0" quotePrefix="0" xfId="0"/>
    <xf numFmtId="173" fontId="26" fillId="14" borderId="2" pivotButton="0" quotePrefix="0" xfId="0"/>
    <xf numFmtId="0" fontId="36" fillId="0" borderId="0" applyAlignment="1" pivotButton="0" quotePrefix="0" xfId="0">
      <alignment vertical="center" wrapText="1"/>
    </xf>
    <xf numFmtId="0" fontId="37" fillId="0" borderId="0" pivotButton="0" quotePrefix="0" xfId="0"/>
    <xf numFmtId="174" fontId="0" fillId="0" borderId="0" pivotButton="0" quotePrefix="0" xfId="0"/>
    <xf numFmtId="0" fontId="38" fillId="0" borderId="0" applyAlignment="1" pivotButton="0" quotePrefix="0" xfId="0">
      <alignment horizontal="left" vertical="center"/>
    </xf>
    <xf numFmtId="0" fontId="39" fillId="0" borderId="0" pivotButton="0" quotePrefix="0" xfId="0"/>
    <xf numFmtId="0" fontId="40" fillId="16" borderId="3" applyAlignment="1" pivotButton="0" quotePrefix="0" xfId="0">
      <alignment horizontal="center" vertical="center"/>
    </xf>
    <xf numFmtId="0" fontId="17" fillId="17" borderId="3" applyAlignment="1" pivotButton="0" quotePrefix="0" xfId="0">
      <alignment horizontal="center" vertical="center"/>
    </xf>
    <xf numFmtId="0" fontId="0" fillId="17" borderId="3" applyAlignment="1" pivotButton="0" quotePrefix="0" xfId="0">
      <alignment horizontal="center" vertical="center"/>
    </xf>
    <xf numFmtId="0" fontId="23" fillId="17" borderId="3" applyAlignment="1" pivotButton="0" quotePrefix="0" xfId="0">
      <alignment horizontal="left" vertical="center" wrapText="1"/>
    </xf>
    <xf numFmtId="0" fontId="17" fillId="0" borderId="3" applyAlignment="1" pivotButton="0" quotePrefix="0" xfId="0">
      <alignment horizontal="center" vertical="center"/>
    </xf>
    <xf numFmtId="0" fontId="0" fillId="0" borderId="3" applyAlignment="1" pivotButton="0" quotePrefix="0" xfId="0">
      <alignment horizontal="center" vertical="center"/>
    </xf>
    <xf numFmtId="0" fontId="0" fillId="0" borderId="3" applyAlignment="1" pivotButton="0" quotePrefix="0" xfId="0">
      <alignment horizontal="left" vertical="center" wrapText="1"/>
    </xf>
    <xf numFmtId="0" fontId="0" fillId="17" borderId="3" applyAlignment="1" pivotButton="0" quotePrefix="0" xfId="0">
      <alignment horizontal="left" vertical="center" wrapText="1"/>
    </xf>
    <xf numFmtId="0" fontId="23" fillId="0" borderId="3" applyAlignment="1" pivotButton="0" quotePrefix="0" xfId="0">
      <alignment horizontal="left" vertical="center" wrapText="1"/>
    </xf>
    <xf numFmtId="0" fontId="41" fillId="0" borderId="4" applyAlignment="1" pivotButton="0" quotePrefix="0" xfId="0">
      <alignment horizontal="center" vertical="center"/>
    </xf>
    <xf numFmtId="0" fontId="42" fillId="0" borderId="4" pivotButton="0" quotePrefix="0" xfId="0"/>
    <xf numFmtId="0" fontId="43" fillId="0" borderId="0" applyAlignment="1" pivotButton="0" quotePrefix="0" xfId="0">
      <alignment vertical="center"/>
    </xf>
    <xf numFmtId="0" fontId="44" fillId="0" borderId="0" pivotButton="0" quotePrefix="0" xfId="0"/>
    <xf numFmtId="0" fontId="45" fillId="18" borderId="0" applyAlignment="1" pivotButton="0" quotePrefix="0" xfId="0">
      <alignment horizontal="center"/>
    </xf>
    <xf numFmtId="0" fontId="46" fillId="18" borderId="0" applyAlignment="1" pivotButton="0" quotePrefix="0" xfId="0">
      <alignment horizontal="center"/>
    </xf>
    <xf numFmtId="0" fontId="47" fillId="0" borderId="0" pivotButton="0" quotePrefix="0" xfId="0"/>
    <xf numFmtId="0" fontId="41" fillId="0" borderId="0" pivotButton="0" quotePrefix="0" xfId="0"/>
    <xf numFmtId="0" fontId="48" fillId="0" borderId="0" pivotButton="0" quotePrefix="0" xfId="0"/>
    <xf numFmtId="175" fontId="41" fillId="0" borderId="0" pivotButton="0" quotePrefix="0" xfId="0"/>
    <xf numFmtId="0" fontId="49" fillId="0" borderId="0" applyAlignment="1" pivotButton="0" quotePrefix="0" xfId="0">
      <alignment vertical="center"/>
    </xf>
    <xf numFmtId="0" fontId="50" fillId="0" borderId="0" pivotButton="0" quotePrefix="0" xfId="0"/>
    <xf numFmtId="0" fontId="51" fillId="19" borderId="0" pivotButton="0" quotePrefix="0" xfId="0"/>
    <xf numFmtId="0" fontId="48" fillId="19" borderId="0" applyAlignment="1" pivotButton="0" quotePrefix="0" xfId="0">
      <alignment vertical="top" wrapText="1"/>
    </xf>
    <xf numFmtId="0" fontId="41" fillId="0" borderId="0" applyAlignment="1" pivotButton="0" quotePrefix="0" xfId="0">
      <alignment horizontal="left"/>
    </xf>
    <xf numFmtId="0" fontId="52" fillId="0" borderId="0" pivotButton="0" quotePrefix="0" xfId="0"/>
    <xf numFmtId="0" fontId="53" fillId="0" borderId="0" pivotButton="0" quotePrefix="0" xfId="0"/>
    <xf numFmtId="1" fontId="0" fillId="0" borderId="0" pivotButton="0" quotePrefix="0" xfId="0"/>
    <xf numFmtId="0" fontId="54" fillId="0" borderId="0" pivotButton="0" quotePrefix="0" xfId="0"/>
    <xf numFmtId="172" fontId="0" fillId="0" borderId="0" pivotButton="0" quotePrefix="0" xfId="0"/>
    <xf numFmtId="0" fontId="55" fillId="0" borderId="0" pivotButton="0" quotePrefix="0" xfId="0"/>
    <xf numFmtId="176" fontId="0" fillId="0" borderId="0" pivotButton="0" quotePrefix="0" xfId="0"/>
    <xf numFmtId="0" fontId="56" fillId="0" borderId="0" pivotButton="0" quotePrefix="0" xfId="0"/>
    <xf numFmtId="168" fontId="0" fillId="0" borderId="0" pivotButton="0" quotePrefix="0" xfId="0"/>
    <xf numFmtId="0" fontId="57" fillId="0" borderId="1" applyAlignment="1" pivotButton="0" quotePrefix="0" xfId="0">
      <alignment vertical="top" wrapText="1"/>
    </xf>
    <xf numFmtId="0" fontId="57" fillId="12" borderId="1" applyAlignment="1" pivotButton="0" quotePrefix="0" xfId="0">
      <alignment vertical="top" wrapText="1"/>
    </xf>
    <xf numFmtId="0" fontId="58" fillId="20" borderId="0" applyAlignment="1" pivotButton="0" quotePrefix="0" xfId="0">
      <alignment horizontal="center" vertical="center"/>
    </xf>
    <xf numFmtId="0" fontId="59" fillId="0" borderId="0" pivotButton="0" quotePrefix="0" xfId="0"/>
    <xf numFmtId="0" fontId="60" fillId="0" borderId="0" pivotButton="0" quotePrefix="0" xfId="0"/>
    <xf numFmtId="0" fontId="61" fillId="0" borderId="0" pivotButton="0" quotePrefix="0" xfId="0"/>
    <xf numFmtId="0" fontId="62" fillId="0" borderId="0" pivotButton="0" quotePrefix="0" xfId="0"/>
    <xf numFmtId="0" fontId="63" fillId="0" borderId="5" pivotButton="0" quotePrefix="0" xfId="0"/>
    <xf numFmtId="177" fontId="63" fillId="0" borderId="5" pivotButton="0" quotePrefix="0" xfId="0"/>
    <xf numFmtId="0" fontId="64" fillId="0" borderId="0" pivotButton="0" quotePrefix="0" xfId="0"/>
    <xf numFmtId="0" fontId="65" fillId="0" borderId="0" pivotButton="0" quotePrefix="0" xfId="0"/>
    <xf numFmtId="175" fontId="0" fillId="0" borderId="0" pivotButton="0" quotePrefix="0" xfId="0"/>
    <xf numFmtId="0" fontId="0" fillId="0" borderId="0" applyAlignment="1" pivotButton="0" quotePrefix="0" xfId="0">
      <alignment vertical="top" wrapText="1"/>
    </xf>
    <xf numFmtId="0" fontId="66" fillId="0" borderId="0" pivotButton="0" quotePrefix="0" xfId="0"/>
  </cellXfs>
  <cellStyles count="1">
    <cellStyle name="常规" xfId="0" builtinId="0"/>
  </cellStyles>
  <dxfs count="22">
    <dxf>
      <font>
        <i val="1"/>
        <color rgb="FF595959"/>
      </font>
      <fill>
        <patternFill patternType="solid">
          <fgColor rgb="FFD9D9D9"/>
        </patternFill>
      </fill>
    </dxf>
    <dxf>
      <font>
        <color rgb="FF5C4A1E"/>
      </font>
      <fill>
        <patternFill patternType="solid">
          <fgColor rgb="FFE8D8A8"/>
        </patternFill>
      </fill>
    </dxf>
    <dxf>
      <font>
        <i val="1"/>
        <color rgb="FF7A2E1D"/>
      </font>
      <fill>
        <patternFill patternType="solid">
          <fgColor rgb="FFE8B4A0"/>
        </patternFill>
      </fill>
    </dxf>
    <dxf>
      <font>
        <color rgb="FF4A2E6E"/>
      </font>
      <fill>
        <patternFill patternType="solid">
          <fgColor rgb="FFD9C8E8"/>
        </patternFill>
      </fill>
    </dxf>
    <dxf>
      <font>
        <color rgb="FF5C4A1E"/>
      </font>
      <fill>
        <patternFill patternType="solid">
          <fgColor rgb="FFF2D98D"/>
        </patternFill>
      </fill>
    </dxf>
    <dxf>
      <font>
        <color rgb="FF4A2E6E"/>
      </font>
      <fill>
        <patternFill patternType="solid">
          <fgColor rgb="FFD9C8E8"/>
        </patternFill>
      </fill>
    </dxf>
    <dxf>
      <font>
        <color rgb="FF4A2E6E"/>
      </font>
      <fill>
        <patternFill patternType="solid">
          <fgColor rgb="FFD9C8E8"/>
        </patternFill>
      </fill>
    </dxf>
    <dxf>
      <font>
        <i val="1"/>
        <color rgb="FF595959"/>
      </font>
      <fill>
        <patternFill patternType="solid">
          <fgColor rgb="FFD9D9D9"/>
        </patternFill>
      </fill>
    </dxf>
    <dxf>
      <font>
        <i val="1"/>
        <color rgb="FF7A2E1D"/>
      </font>
      <fill>
        <patternFill patternType="solid">
          <fgColor rgb="FFE8B4A0"/>
        </patternFill>
      </fill>
    </dxf>
    <dxf>
      <font>
        <color rgb="FF4A2E6E"/>
      </font>
      <fill>
        <patternFill patternType="solid">
          <fgColor rgb="FFD9C8E8"/>
        </patternFill>
      </fill>
    </dxf>
    <dxf>
      <font>
        <color rgb="FF2E5A1E"/>
      </font>
      <fill>
        <patternFill patternType="solid">
          <fgColor rgb="FFCDE6B5"/>
        </patternFill>
      </fill>
    </dxf>
    <dxf>
      <font>
        <color rgb="FF1F4E79"/>
      </font>
      <fill>
        <patternFill patternType="solid">
          <fgColor rgb="FFBFD7EA"/>
        </patternFill>
      </fill>
    </dxf>
    <dxf>
      <font>
        <i val="1"/>
        <color rgb="FF595959"/>
      </font>
      <fill>
        <patternFill patternType="solid">
          <fgColor rgb="FFD9D9D9"/>
        </patternFill>
      </fill>
    </dxf>
    <dxf>
      <font>
        <i val="1"/>
        <color rgb="FF7A2E1D"/>
      </font>
      <fill>
        <patternFill patternType="solid">
          <fgColor rgb="FFE8B4A0"/>
        </patternFill>
      </fill>
    </dxf>
    <dxf>
      <font>
        <color rgb="FF4A2E6E"/>
      </font>
      <fill>
        <patternFill patternType="solid">
          <fgColor rgb="FFD9C8E8"/>
        </patternFill>
      </fill>
    </dxf>
    <dxf>
      <font>
        <i val="1"/>
        <color rgb="FF595959"/>
      </font>
      <fill>
        <patternFill patternType="solid">
          <fgColor rgb="FFD9D9D9"/>
        </patternFill>
      </fill>
    </dxf>
    <dxf>
      <font>
        <i val="1"/>
        <color rgb="FF595959"/>
      </font>
      <fill>
        <patternFill patternType="solid">
          <fgColor rgb="FFD9D9D9"/>
        </patternFill>
      </fill>
    </dxf>
    <dxf>
      <font>
        <color rgb="FF2E5A1E"/>
      </font>
      <fill>
        <patternFill patternType="solid">
          <fgColor rgb="FFCDE6B5"/>
        </patternFill>
      </fill>
    </dxf>
    <dxf>
      <font>
        <color rgb="FF2E5A1E"/>
      </font>
      <fill>
        <patternFill patternType="solid">
          <fgColor rgb="FFCDE6B5"/>
        </patternFill>
      </fill>
    </dxf>
    <dxf>
      <font>
        <i val="1"/>
        <color rgb="00808080"/>
      </font>
    </dxf>
    <dxf>
      <fill>
        <patternFill patternType="solid">
          <fgColor rgb="00E7E6E6"/>
        </patternFill>
      </fill>
    </dxf>
    <dxf>
      <font>
        <b val="1"/>
        <color rgb="00FFFFFF"/>
      </font>
      <fill>
        <patternFill patternType="solid">
          <fgColor rgb="00D64541"/>
          <bgColor rgb="00D6454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Приходы по годам · 2007–2026</a:t>
            </a:r>
          </a:p>
        </rich>
      </tx>
    </title>
    <plotArea>
      <barChart>
        <barDir val="col"/>
        <grouping val="clustered"/>
        <ser>
          <idx val="0"/>
          <order val="0"/>
          <tx>
            <strRef>
              <f>'Дашборд'!D25</f>
            </strRef>
          </tx>
          <spPr>
            <a:ln xmlns:a="http://schemas.openxmlformats.org/drawingml/2006/main">
              <a:prstDash val="solid"/>
            </a:ln>
          </spPr>
          <cat>
            <numRef>
              <f>'Дашборд'!$B$26:$B$45</f>
            </numRef>
          </cat>
          <val>
            <numRef>
              <f>'Дашборд'!$D$26:$D$45</f>
            </numRef>
          </val>
        </ser>
        <dLbls>
          <dLblPos val="outEnd"/>
          <showVal val="1"/>
        </dLbls>
        <gapWidth val="150"/>
        <axId val="10"/>
        <axId val="100"/>
      </barChart>
      <catAx>
        <axId val="10"/>
        <scaling>
          <orientation val="minMax"/>
        </scaling>
        <axPos val="l"/>
        <majorTickMark val="none"/>
        <minorTickMark val="none"/>
        <crossAx val="100"/>
        <lblOffset val="100"/>
      </catAx>
      <valAx>
        <axId val="100"/>
        <scaling>
          <logBase val="10"/>
          <orientation val="minMax"/>
        </scaling>
        <delete val="0"/>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Батареи по годам моделей · среднее</a:t>
            </a:r>
          </a:p>
        </rich>
      </tx>
    </title>
    <plotArea>
      <lineChart>
        <grouping val="standard"/>
        <ser>
          <idx val="0"/>
          <order val="0"/>
          <tx>
            <strRef>
              <f>'Дашборд'!D48</f>
            </strRef>
          </tx>
          <spPr>
            <a:ln xmlns:a="http://schemas.openxmlformats.org/drawingml/2006/main">
              <a:prstDash val="solid"/>
            </a:ln>
          </spPr>
          <marker>
            <symbol val="none"/>
            <spPr>
              <a:ln xmlns:a="http://schemas.openxmlformats.org/drawingml/2006/main">
                <a:prstDash val="solid"/>
              </a:ln>
            </spPr>
          </marker>
          <cat>
            <numRef>
              <f>'Дашборд'!$B$49:$B$62</f>
            </numRef>
          </cat>
          <val>
            <numRef>
              <f>'Дашборд'!$D$49:$D$62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мАч</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21</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FondRegistry" displayName="FondRegistry" ref="A1:V35" headerRowCount="1">
  <autoFilter ref="A1:V35"/>
  <tableColumns count="22">
    <tableColumn id="1" name="ID"/>
    <tableColumn id="2" name="Устройство"/>
    <tableColumn id="3" name="Категория"/>
    <tableColumn id="4" name="Год модели"/>
    <tableColumn id="5" name="Год прихода"/>
    <tableColumn id="6" name="ПЗУ (ГБ)"/>
    <tableColumn id="7" name="ОЗУ (ГБ)"/>
    <tableColumn id="8" name="Экран (&quot;)"/>
    <tableColumn id="9" name="Гц"/>
    <tableColumn id="10" name="Батарея (мАч)"/>
    <tableColumn id="11" name="Камера (МП)"/>
    <tableColumn id="12" name="CPU (ГГц)"/>
    <tableColumn id="13" name="Зарядка (Вт)"/>
    <tableColumn id="14" name="Цена (₽)"/>
    <tableColumn id="15" name="Цена (текст)"/>
    <tableColumn id="16" name="Память (текст)"/>
    <tableColumn id="17" name="Статус"/>
    <tableColumn id="18" name="Цвет"/>
    <tableColumn id="19" name="Источник"/>
    <tableColumn id="20" name="Заметки"/>
    <tableColumn id="21" name="→ Дело"/>
    <tableColumn id="22" name="Флаг"/>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hyperlink" Target="#&#1056;&#1077;&#1077;&#1089;&#1090;&#1088;!A7" TargetMode="External" Id="rId1"/><Relationship Type="http://schemas.openxmlformats.org/officeDocument/2006/relationships/hyperlink" Target="#&#1056;&#1077;&#1077;&#1089;&#1090;&#1088;!A8" TargetMode="External" Id="rId2"/><Relationship Type="http://schemas.openxmlformats.org/officeDocument/2006/relationships/hyperlink" Target="#&#1056;&#1077;&#1077;&#1089;&#1090;&#1088;!A9" TargetMode="External" Id="rId3"/><Relationship Type="http://schemas.openxmlformats.org/officeDocument/2006/relationships/hyperlink" Target="#&#1056;&#1077;&#1077;&#1089;&#1090;&#1088;!A10" TargetMode="External" Id="rId4"/><Relationship Type="http://schemas.openxmlformats.org/officeDocument/2006/relationships/hyperlink" Target="#&#1056;&#1077;&#1077;&#1089;&#1090;&#1088;!A11" TargetMode="External" Id="rId5"/><Relationship Type="http://schemas.openxmlformats.org/officeDocument/2006/relationships/hyperlink" Target="#&#1056;&#1077;&#1077;&#1089;&#1090;&#1088;!A12" TargetMode="External" Id="rId6"/><Relationship Type="http://schemas.openxmlformats.org/officeDocument/2006/relationships/hyperlink" Target="#&#1056;&#1077;&#1077;&#1089;&#1090;&#1088;!A14" TargetMode="External" Id="rId7"/><Relationship Type="http://schemas.openxmlformats.org/officeDocument/2006/relationships/hyperlink" Target="#&#1056;&#1077;&#1077;&#1089;&#1090;&#1088;!A15" TargetMode="External" Id="rId8"/><Relationship Type="http://schemas.openxmlformats.org/officeDocument/2006/relationships/hyperlink" Target="#&#1056;&#1077;&#1077;&#1089;&#1090;&#1088;!A17" TargetMode="External" Id="rId9"/><Relationship Type="http://schemas.openxmlformats.org/officeDocument/2006/relationships/hyperlink" Target="#&#1056;&#1077;&#1077;&#1089;&#1090;&#1088;!A18" TargetMode="External" Id="rId10"/><Relationship Type="http://schemas.openxmlformats.org/officeDocument/2006/relationships/hyperlink" Target="#&#1056;&#1077;&#1077;&#1089;&#1090;&#1088;!A19" TargetMode="External" Id="rId11"/><Relationship Type="http://schemas.openxmlformats.org/officeDocument/2006/relationships/hyperlink" Target="#&#1056;&#1077;&#1077;&#1089;&#1090;&#1088;!A21" TargetMode="External" Id="rId12"/><Relationship Type="http://schemas.openxmlformats.org/officeDocument/2006/relationships/hyperlink" Target="#&#1056;&#1077;&#1077;&#1089;&#1090;&#1088;!A31" TargetMode="External" Id="rId13"/><Relationship Type="http://schemas.openxmlformats.org/officeDocument/2006/relationships/hyperlink" Target="#&#1056;&#1077;&#1077;&#1089;&#1090;&#1088;!A33" TargetMode="External" Id="rId14"/></Relationships>
</file>

<file path=xl/worksheets/sheet1.xml><?xml version="1.0" encoding="utf-8"?>
<worksheet xmlns="http://schemas.openxmlformats.org/spreadsheetml/2006/main">
  <sheetPr>
    <outlinePr summaryBelow="1" summaryRight="1"/>
    <pageSetUpPr/>
  </sheetPr>
  <dimension ref="B2:AD62"/>
  <sheetViews>
    <sheetView showGridLines="0" workbookViewId="0">
      <selection activeCell="A1" sqref="A1"/>
    </sheetView>
  </sheetViews>
  <sheetFormatPr baseColWidth="8" defaultRowHeight="15"/>
  <cols>
    <col width="30" customWidth="1" style="67" min="2" max="2"/>
    <col width="16" customWidth="1" style="67" min="4" max="4"/>
    <col width="10" customWidth="1" style="67" min="5" max="5"/>
    <col width="40" customWidth="1" style="67" min="6" max="6"/>
    <col hidden="1" width="13" customWidth="1" style="67" min="27" max="27"/>
    <col hidden="1" width="13" customWidth="1" style="67" min="28" max="28"/>
    <col hidden="1" width="13" customWidth="1" style="67" min="29" max="29"/>
    <col hidden="1" width="13" customWidth="1" style="67" min="30" max="30"/>
  </cols>
  <sheetData>
    <row r="2">
      <c r="B2" s="132" t="inlineStr">
        <is>
          <t>Дашборд фонда PH-2026</t>
        </is>
      </c>
      <c r="AA2" s="0" t="inlineStr">
        <is>
          <t>Археология</t>
        </is>
      </c>
      <c r="AB2" s="0" t="inlineStr">
        <is>
          <t>Доисторическая эра</t>
        </is>
      </c>
      <c r="AC2" s="0" t="inlineStr">
        <is>
          <t>Синий</t>
        </is>
      </c>
      <c r="AD2" s="0" t="inlineStr">
        <is>
          <t>ОТМЕНЁН</t>
        </is>
      </c>
    </row>
    <row r="3">
      <c r="B3" s="133" t="inlineStr">
        <is>
          <t>Живые показатели по листу «Реестр» · v4.9 · 20.10.2026</t>
        </is>
      </c>
      <c r="AA3" s="0" t="inlineStr">
        <is>
          <t>Ушли и прочие</t>
        </is>
      </c>
      <c r="AB3" s="0" t="inlineStr">
        <is>
          <t>Артефакт</t>
        </is>
      </c>
      <c r="AC3" s="0" t="inlineStr">
        <is>
          <t>Silver</t>
        </is>
      </c>
    </row>
    <row r="4">
      <c r="B4" s="134" t="inlineStr">
        <is>
          <t>Ключевые показатели</t>
        </is>
      </c>
      <c r="AA4" s="0" t="inlineStr">
        <is>
          <t>Ветераны</t>
        </is>
      </c>
      <c r="AB4" s="0" t="inlineStr">
        <is>
          <t>Ушёл</t>
        </is>
      </c>
      <c r="AC4" s="0" t="inlineStr">
        <is>
          <t>—</t>
        </is>
      </c>
    </row>
    <row r="5">
      <c r="B5" s="135" t="inlineStr">
        <is>
          <t>Всего записей</t>
        </is>
      </c>
      <c r="D5" s="136">
        <f>COUNTA(Реестр!A2:A36)</f>
        <v/>
      </c>
      <c r="AA5" s="0" t="inlineStr">
        <is>
          <t>На службе</t>
        </is>
      </c>
      <c r="AB5" s="0" t="inlineStr">
        <is>
          <t>Убит яростью</t>
        </is>
      </c>
      <c r="AC5" s="0" t="inlineStr">
        <is>
          <t>Yellow</t>
        </is>
      </c>
    </row>
    <row r="6">
      <c r="B6" s="135" t="inlineStr">
        <is>
          <t>Экспонатов (не отказные заказы)</t>
        </is>
      </c>
      <c r="D6" s="136">
        <f>COUNTA(Реестр!A2:A36)-D7</f>
        <v/>
      </c>
      <c r="AA6" s="0" t="inlineStr">
        <is>
          <t>Альтернативная ветка</t>
        </is>
      </c>
      <c r="AB6" s="0" t="inlineStr">
        <is>
          <t>Бесследно утерян</t>
        </is>
      </c>
      <c r="AC6" s="0" t="inlineStr">
        <is>
          <t>Black</t>
        </is>
      </c>
    </row>
    <row r="7">
      <c r="B7" s="135" t="inlineStr">
        <is>
          <t>Отказных заказов (статус «отказ владельца»)</t>
        </is>
      </c>
      <c r="D7" s="136">
        <f>SUMPRODUCT(--ISNUMBER(SEARCH("отказ",Реестр!Q2:Q36)))</f>
        <v/>
      </c>
      <c r="AA7" s="0" t="inlineStr">
        <is>
          <t>Подтехники</t>
        </is>
      </c>
      <c r="AB7" s="0" t="inlineStr">
        <is>
          <t>Источник «грязного провода»</t>
        </is>
      </c>
      <c r="AC7" s="0" t="inlineStr">
        <is>
          <t>Pearl White</t>
        </is>
      </c>
    </row>
    <row r="8">
      <c r="B8" s="135" t="inlineStr">
        <is>
          <t>Сумма фонда (без отказных)</t>
        </is>
      </c>
      <c r="D8" s="136">
        <f>SUMIFS(Реестр!N2:N36,Реестр!Q2:Q36,"&lt;&gt;*отказ*")</f>
        <v/>
      </c>
      <c r="AB8" s="0" t="inlineStr">
        <is>
          <t>Умер от грязного провода</t>
        </is>
      </c>
      <c r="AC8" s="0" t="inlineStr">
        <is>
          <t>Gold</t>
        </is>
      </c>
    </row>
    <row r="9">
      <c r="B9" s="135" t="inlineStr">
        <is>
          <t>Средняя цена (без отказных)</t>
        </is>
      </c>
      <c r="D9" s="136">
        <f>IFERROR(AVERAGEIFS(Реестр!N2:N36,Реестр!Q2:Q36,"&lt;&gt;*отказ*"),0)</f>
        <v/>
      </c>
      <c r="AB9" s="0" t="inlineStr">
        <is>
          <t>Ветеран</t>
        </is>
      </c>
      <c r="AC9" s="0" t="inlineStr">
        <is>
          <t>Polar Black</t>
        </is>
      </c>
    </row>
    <row r="10">
      <c r="B10" s="135" t="inlineStr">
        <is>
          <t>Самая дорогая покупка</t>
        </is>
      </c>
      <c r="D10" s="137">
        <f>MAX(Реестр!N2:N36)</f>
        <v/>
      </c>
      <c r="AB10" s="0" t="inlineStr">
        <is>
          <t>Ушёл по невыгодному обмену</t>
        </is>
      </c>
      <c r="AC10" s="0" t="inlineStr">
        <is>
          <t>Luna Blue</t>
        </is>
      </c>
    </row>
    <row r="11">
      <c r="B11" s="135" t="inlineStr">
        <is>
          <t>Год первого прихода</t>
        </is>
      </c>
      <c r="D11" s="136">
        <f>MIN(Реестр!E2:E36)</f>
        <v/>
      </c>
      <c r="AB11" s="0" t="inlineStr">
        <is>
          <t>Изгнан</t>
        </is>
      </c>
      <c r="AC11" s="0" t="inlineStr">
        <is>
          <t>Forest Green</t>
        </is>
      </c>
    </row>
    <row r="12">
      <c r="B12" s="135" t="inlineStr">
        <is>
          <t>Год последнего прихода</t>
        </is>
      </c>
      <c r="D12" s="136">
        <f>MAX(Реестр!E2:E36)</f>
        <v/>
      </c>
      <c r="AB12" s="0" t="inlineStr">
        <is>
          <t>Ветеран 2023 — 10.10.2026, ушёл на заслуженный отдых</t>
        </is>
      </c>
      <c r="AC12" s="0" t="inlineStr">
        <is>
          <t>White</t>
        </is>
      </c>
    </row>
    <row r="13">
      <c r="AB13" s="0" t="inlineStr">
        <is>
          <t>Продан ради съёмного дома</t>
        </is>
      </c>
      <c r="AC13" s="0" t="inlineStr">
        <is>
          <t>Silver Shadow</t>
        </is>
      </c>
    </row>
    <row r="14">
      <c r="AB14" s="0" t="inlineStr">
        <is>
          <t>Бартер за наушники</t>
        </is>
      </c>
      <c r="AC14" s="0" t="inlineStr">
        <is>
          <t>Cosmic Orange</t>
        </is>
      </c>
    </row>
    <row r="15">
      <c r="B15" s="134" t="inlineStr">
        <is>
          <t>Разбор по категориям</t>
        </is>
      </c>
      <c r="AB15" s="0" t="inlineStr">
        <is>
          <t>Кнопочный резерв</t>
        </is>
      </c>
      <c r="AC15" s="0" t="inlineStr">
        <is>
          <t>Storm Black</t>
        </is>
      </c>
    </row>
    <row r="16">
      <c r="B16" s="138" t="inlineStr">
        <is>
          <t>Археология</t>
        </is>
      </c>
      <c r="D16" s="0">
        <f>COUNTIF(Реестр!C2:C36,B16)</f>
        <v/>
      </c>
      <c r="AB16" s="0" t="inlineStr">
        <is>
          <t>Найден убитым</t>
        </is>
      </c>
      <c r="AC16" s="0" t="inlineStr">
        <is>
          <t>Black+Gunmetal</t>
        </is>
      </c>
    </row>
    <row r="17">
      <c r="B17" s="138" t="inlineStr">
        <is>
          <t>Ушли и прочие</t>
        </is>
      </c>
      <c r="D17" s="0">
        <f>COUNTIF(Реестр!C2:C36,B17)</f>
        <v/>
      </c>
      <c r="AB17" s="0" t="inlineStr">
        <is>
          <t>Король — Основной</t>
        </is>
      </c>
      <c r="AC17" s="0" t="inlineStr">
        <is>
          <t>Grey</t>
        </is>
      </c>
    </row>
    <row r="18">
      <c r="B18" s="138" t="inlineStr">
        <is>
          <t>Ветераны</t>
        </is>
      </c>
      <c r="D18" s="0">
        <f>COUNTIF(Реестр!C2:C36,B18)</f>
        <v/>
      </c>
      <c r="AB18" s="0" t="inlineStr">
        <is>
          <t>Отменён — отказ владельца</t>
        </is>
      </c>
      <c r="AC18" s="0" t="inlineStr">
        <is>
          <t>Blue</t>
        </is>
      </c>
    </row>
    <row r="19">
      <c r="B19" s="138" t="inlineStr">
        <is>
          <t>На службе</t>
        </is>
      </c>
      <c r="D19" s="0">
        <f>COUNTIF(Реестр!C2:C36,B19)</f>
        <v/>
      </c>
      <c r="AB19" s="0" t="inlineStr">
        <is>
          <t>Альтернативная ветка</t>
        </is>
      </c>
      <c r="AC19" s="0" t="inlineStr">
        <is>
          <t>Dark Flare</t>
        </is>
      </c>
    </row>
    <row r="20">
      <c r="B20" s="138" t="inlineStr">
        <is>
          <t>Альтернативная ветка</t>
        </is>
      </c>
      <c r="D20" s="0">
        <f>COUNTIF(Реестр!C2:C36,B20)</f>
        <v/>
      </c>
      <c r="AB20" s="0" t="inlineStr">
        <is>
          <t>Отказ владельца — отменён в пользу Pad 7</t>
        </is>
      </c>
    </row>
    <row r="21">
      <c r="B21" s="138" t="inlineStr">
        <is>
          <t>Подтехники</t>
        </is>
      </c>
      <c r="D21" s="0">
        <f>COUNTIF(Реестр!C2:C36,B21)</f>
        <v/>
      </c>
      <c r="AB21" s="0" t="inlineStr">
        <is>
          <t>Отказ владельца — отменён до получения</t>
        </is>
      </c>
    </row>
    <row r="22">
      <c r="B22" s="139" t="inlineStr">
        <is>
          <t>Проверка суммы</t>
        </is>
      </c>
      <c r="D22" s="139">
        <f>SUM(D16:D21)</f>
        <v/>
      </c>
      <c r="AB22" s="0" t="inlineStr">
        <is>
          <t>Отказ владельца</t>
        </is>
      </c>
    </row>
    <row r="23">
      <c r="AB23" s="0" t="inlineStr">
        <is>
          <t>ЗАКРЫТО</t>
        </is>
      </c>
    </row>
    <row r="24">
      <c r="B24" s="134" t="inlineStr">
        <is>
          <t>Приходы по годам (₽, без отказных)</t>
        </is>
      </c>
      <c r="AB24" s="0" t="inlineStr">
        <is>
          <t>Запасной оператор связи на тяжёлые времена</t>
        </is>
      </c>
    </row>
    <row r="25">
      <c r="B25" s="135" t="inlineStr">
        <is>
          <t>Год</t>
        </is>
      </c>
      <c r="D25" s="135" t="inlineStr">
        <is>
          <t>Сумма</t>
        </is>
      </c>
      <c r="E25" s="112" t="inlineStr">
        <is>
          <t>Приборов</t>
        </is>
      </c>
      <c r="F25" s="112" t="inlineStr">
        <is>
          <t>Кто пришёл</t>
        </is>
      </c>
      <c r="AB25" s="0" t="inlineStr">
        <is>
          <t>ВЫЧЕРКНУТ</t>
        </is>
      </c>
    </row>
    <row r="26">
      <c r="B26" s="0" t="n">
        <v>2007</v>
      </c>
      <c r="D26" s="0">
        <f>SUMIFS(Реестр!$N$2:$N$36,Реестр!$E$2:$E$36,B26,Реестр!$Q$2:$Q$36,"&lt;&gt;*отказ*")</f>
        <v/>
      </c>
      <c r="E26" s="0">
        <f>COUNTIFS(Реестр!$E$2:$E$36,B26,Реестр!$Q$2:$Q$36,"&lt;&gt;*Отказ владельца*")</f>
        <v/>
      </c>
      <c r="F26" s="141" t="inlineStr">
        <is>
          <t>Samsung SGH-C130</t>
        </is>
      </c>
      <c r="AB26" s="0" t="inlineStr">
        <is>
          <t>Основной запасной — преемник Infinix Hot 30 Play</t>
        </is>
      </c>
    </row>
    <row r="27">
      <c r="B27" s="0" t="n">
        <v>2008</v>
      </c>
      <c r="D27" s="0">
        <f>SUMIFS(Реестр!$N$2:$N$36,Реестр!$E$2:$E$36,B27,Реестр!$Q$2:$Q$36,"&lt;&gt;*отказ*")</f>
        <v/>
      </c>
      <c r="E27" s="0">
        <f>COUNTIFS(Реестр!$E$2:$E$36,B27,Реестр!$Q$2:$Q$36,"&lt;&gt;*Отказ владельца*")</f>
        <v/>
      </c>
      <c r="F27" s="141" t="inlineStr">
        <is>
          <t>—</t>
        </is>
      </c>
      <c r="AB27" s="0" t="inlineStr">
        <is>
          <t>Подтехника — на службе</t>
        </is>
      </c>
    </row>
    <row r="28">
      <c r="B28" s="0" t="n">
        <v>2009</v>
      </c>
      <c r="D28" s="0">
        <f>SUMIFS(Реестр!$N$2:$N$36,Реестр!$E$2:$E$36,B28,Реестр!$Q$2:$Q$36,"&lt;&gt;*отказ*")</f>
        <v/>
      </c>
      <c r="E28" s="0">
        <f>COUNTIFS(Реестр!$E$2:$E$36,B28,Реестр!$Q$2:$Q$36,"&lt;&gt;*Отказ владельца*")</f>
        <v/>
      </c>
      <c r="F28" s="141" t="inlineStr">
        <is>
          <t>—</t>
        </is>
      </c>
      <c r="AB28" s="0" t="inlineStr">
        <is>
          <t>На службе</t>
        </is>
      </c>
    </row>
    <row r="29">
      <c r="B29" s="0" t="n">
        <v>2010</v>
      </c>
      <c r="D29" s="0">
        <f>SUMIFS(Реестр!$N$2:$N$36,Реестр!$E$2:$E$36,B29,Реестр!$Q$2:$Q$36,"&lt;&gt;*отказ*")</f>
        <v/>
      </c>
      <c r="E29" s="0">
        <f>COUNTIFS(Реестр!$E$2:$E$36,B29,Реестр!$Q$2:$Q$36,"&lt;&gt;*Отказ владельца*")</f>
        <v/>
      </c>
      <c r="F29" s="141" t="inlineStr">
        <is>
          <t>Samsung E250, Nokia 6300, Безымянные кнопочные</t>
        </is>
      </c>
    </row>
    <row r="30">
      <c r="B30" s="0" t="n">
        <v>2011</v>
      </c>
      <c r="D30" s="0">
        <f>SUMIFS(Реестр!$N$2:$N$36,Реестр!$E$2:$E$36,B30,Реестр!$Q$2:$Q$36,"&lt;&gt;*отказ*")</f>
        <v/>
      </c>
      <c r="E30" s="0">
        <f>COUNTIFS(Реестр!$E$2:$E$36,B30,Реестр!$Q$2:$Q$36,"&lt;&gt;*Отказ владельца*")</f>
        <v/>
      </c>
      <c r="F30" s="141" t="inlineStr">
        <is>
          <t>—</t>
        </is>
      </c>
    </row>
    <row r="31">
      <c r="B31" s="0" t="n">
        <v>2012</v>
      </c>
      <c r="D31" s="0">
        <f>SUMIFS(Реестр!$N$2:$N$36,Реестр!$E$2:$E$36,B31,Реестр!$Q$2:$Q$36,"&lt;&gt;*отказ*")</f>
        <v/>
      </c>
      <c r="E31" s="0">
        <f>COUNTIFS(Реестр!$E$2:$E$36,B31,Реестр!$Q$2:$Q$36,"&lt;&gt;*Отказ владельца*")</f>
        <v/>
      </c>
      <c r="F31" s="141" t="inlineStr">
        <is>
          <t>Samsung Galaxy Mini 2</t>
        </is>
      </c>
    </row>
    <row r="32">
      <c r="B32" s="0" t="n">
        <v>2013</v>
      </c>
      <c r="D32" s="0">
        <f>SUMIFS(Реестр!$N$2:$N$36,Реестр!$E$2:$E$36,B32,Реестр!$Q$2:$Q$36,"&lt;&gt;*отказ*")</f>
        <v/>
      </c>
      <c r="E32" s="0">
        <f>COUNTIFS(Реестр!$E$2:$E$36,B32,Реестр!$Q$2:$Q$36,"&lt;&gt;*Отказ владельца*")</f>
        <v/>
      </c>
      <c r="F32" s="141" t="inlineStr">
        <is>
          <t>—</t>
        </is>
      </c>
    </row>
    <row r="33">
      <c r="B33" s="0" t="n">
        <v>2014</v>
      </c>
      <c r="D33" s="0">
        <f>SUMIFS(Реестр!$N$2:$N$36,Реестр!$E$2:$E$36,B33,Реестр!$Q$2:$Q$36,"&lt;&gt;*отказ*")</f>
        <v/>
      </c>
      <c r="E33" s="0">
        <f>COUNTIFS(Реестр!$E$2:$E$36,B33,Реестр!$Q$2:$Q$36,"&lt;&gt;*Отказ владельца*")</f>
        <v/>
      </c>
      <c r="F33" s="141" t="inlineStr">
        <is>
          <t>Lenovo A328</t>
        </is>
      </c>
    </row>
    <row r="34">
      <c r="B34" s="0" t="n">
        <v>2015</v>
      </c>
      <c r="D34" s="0">
        <f>SUMIFS(Реестр!$N$2:$N$36,Реестр!$E$2:$E$36,B34,Реестр!$Q$2:$Q$36,"&lt;&gt;*отказ*")</f>
        <v/>
      </c>
      <c r="E34" s="0">
        <f>COUNTIFS(Реестр!$E$2:$E$36,B34,Реестр!$Q$2:$Q$36,"&lt;&gt;*Отказ владельца*")</f>
        <v/>
      </c>
      <c r="F34" s="141" t="inlineStr">
        <is>
          <t>Lenovo Tab 2 A10-70L</t>
        </is>
      </c>
    </row>
    <row r="35">
      <c r="B35" s="0" t="n">
        <v>2016</v>
      </c>
      <c r="D35" s="0">
        <f>SUMIFS(Реестр!$N$2:$N$36,Реестр!$E$2:$E$36,B35,Реестр!$Q$2:$Q$36,"&lt;&gt;*отказ*")</f>
        <v/>
      </c>
      <c r="E35" s="0">
        <f>COUNTIFS(Реестр!$E$2:$E$36,B35,Реестр!$Q$2:$Q$36,"&lt;&gt;*Отказ владельца*")</f>
        <v/>
      </c>
      <c r="F35" s="141" t="inlineStr">
        <is>
          <t>BQ Strike</t>
        </is>
      </c>
    </row>
    <row r="36">
      <c r="B36" s="0" t="n">
        <v>2017</v>
      </c>
      <c r="D36" s="0">
        <f>SUMIFS(Реестр!$N$2:$N$36,Реестр!$E$2:$E$36,B36,Реестр!$Q$2:$Q$36,"&lt;&gt;*отказ*")</f>
        <v/>
      </c>
      <c r="E36" s="0">
        <f>COUNTIFS(Реестр!$E$2:$E$36,B36,Реестр!$Q$2:$Q$36,"&lt;&gt;*Отказ владельца*")</f>
        <v/>
      </c>
      <c r="F36" s="141" t="inlineStr">
        <is>
          <t>BQ-5035 Velvet</t>
        </is>
      </c>
    </row>
    <row r="37">
      <c r="B37" s="0" t="n">
        <v>2018</v>
      </c>
      <c r="D37" s="0">
        <f>SUMIFS(Реестр!$N$2:$N$36,Реестр!$E$2:$E$36,B37,Реестр!$Q$2:$Q$36,"&lt;&gt;*отказ*")</f>
        <v/>
      </c>
      <c r="E37" s="0">
        <f>COUNTIFS(Реестр!$E$2:$E$36,B37,Реестр!$Q$2:$Q$36,"&lt;&gt;*Отказ владельца*")</f>
        <v/>
      </c>
      <c r="F37" s="141" t="inlineStr">
        <is>
          <t>Sony Xperia Z1 (C6903)</t>
        </is>
      </c>
    </row>
    <row r="38">
      <c r="B38" s="0" t="n">
        <v>2019</v>
      </c>
      <c r="D38" s="0">
        <f>SUMIFS(Реестр!$N$2:$N$36,Реестр!$E$2:$E$36,B38,Реестр!$Q$2:$Q$36,"&lt;&gt;*отказ*")</f>
        <v/>
      </c>
      <c r="E38" s="0">
        <f>COUNTIFS(Реестр!$E$2:$E$36,B38,Реестр!$Q$2:$Q$36,"&lt;&gt;*Отказ владельца*")</f>
        <v/>
      </c>
      <c r="F38" s="141" t="inlineStr">
        <is>
          <t>—</t>
        </is>
      </c>
    </row>
    <row r="39">
      <c r="B39" s="0" t="n">
        <v>2020</v>
      </c>
      <c r="D39" s="0">
        <f>SUMIFS(Реестр!$N$2:$N$36,Реестр!$E$2:$E$36,B39,Реестр!$Q$2:$Q$36,"&lt;&gt;*отказ*")</f>
        <v/>
      </c>
      <c r="E39" s="0">
        <f>COUNTIFS(Реестр!$E$2:$E$36,B39,Реестр!$Q$2:$Q$36,"&lt;&gt;*Отказ владельца*")</f>
        <v/>
      </c>
      <c r="F39" s="141" t="inlineStr">
        <is>
          <t>—</t>
        </is>
      </c>
    </row>
    <row r="40">
      <c r="B40" s="0" t="n">
        <v>2021</v>
      </c>
      <c r="D40" s="0">
        <f>SUMIFS(Реестр!$N$2:$N$36,Реестр!$E$2:$E$36,B40,Реестр!$Q$2:$Q$36,"&lt;&gt;*отказ*")</f>
        <v/>
      </c>
      <c r="E40" s="0">
        <f>COUNTIFS(Реестр!$E$2:$E$36,B40,Реестр!$Q$2:$Q$36,"&lt;&gt;*Отказ владельца*")</f>
        <v/>
      </c>
      <c r="F40" s="141" t="inlineStr">
        <is>
          <t>Infinix Hot 11</t>
        </is>
      </c>
    </row>
    <row r="41">
      <c r="B41" s="0" t="n">
        <v>2022</v>
      </c>
      <c r="D41" s="0">
        <f>SUMIFS(Реестр!$N$2:$N$36,Реестр!$E$2:$E$36,B41,Реестр!$Q$2:$Q$36,"&lt;&gt;*отказ*")</f>
        <v/>
      </c>
      <c r="E41" s="0">
        <f>COUNTIFS(Реестр!$E$2:$E$36,B41,Реестр!$Q$2:$Q$36,"&lt;&gt;*Отказ владельца*")</f>
        <v/>
      </c>
      <c r="F41" s="141" t="inlineStr">
        <is>
          <t>—</t>
        </is>
      </c>
    </row>
    <row r="42">
      <c r="B42" s="0" t="n">
        <v>2023</v>
      </c>
      <c r="D42" s="0">
        <f>SUMIFS(Реестр!$N$2:$N$36,Реестр!$E$2:$E$36,B42,Реестр!$Q$2:$Q$36,"&lt;&gt;*отказ*")</f>
        <v/>
      </c>
      <c r="E42" s="0">
        <f>COUNTIFS(Реестр!$E$2:$E$36,B42,Реестр!$Q$2:$Q$36,"&lt;&gt;*Отказ владельца*")</f>
        <v/>
      </c>
      <c r="F42" s="141" t="inlineStr">
        <is>
          <t>P901 (OPPO CPH1821EX), Infinix Hot 30 Play</t>
        </is>
      </c>
    </row>
    <row r="43">
      <c r="B43" s="0" t="n">
        <v>2024</v>
      </c>
      <c r="D43" s="0">
        <f>SUMIFS(Реестр!$N$2:$N$36,Реестр!$E$2:$E$36,B43,Реестр!$Q$2:$Q$36,"&lt;&gt;*отказ*")</f>
        <v/>
      </c>
      <c r="E43" s="0">
        <f>COUNTIFS(Реестр!$E$2:$E$36,B43,Реестр!$Q$2:$Q$36,"&lt;&gt;*Отказ владельца*")</f>
        <v/>
      </c>
      <c r="F43" s="141" t="inlineStr">
        <is>
          <t>Honor X7c</t>
        </is>
      </c>
    </row>
    <row r="44">
      <c r="B44" s="0" t="n">
        <v>2025</v>
      </c>
      <c r="D44" s="0">
        <f>SUMIFS(Реестр!$N$2:$N$36,Реестр!$E$2:$E$36,B44,Реестр!$Q$2:$Q$36,"&lt;&gt;*отказ*")</f>
        <v/>
      </c>
      <c r="E44" s="0">
        <f>COUNTIFS(Реестр!$E$2:$E$36,B44,Реестр!$Q$2:$Q$36,"&lt;&gt;*Отказ владельца*")</f>
        <v/>
      </c>
      <c r="F44" s="141" t="inlineStr">
        <is>
          <t>Infinix Hot 20i (X665E), TeXet TM-130</t>
        </is>
      </c>
    </row>
    <row r="45">
      <c r="B45" s="0" t="n">
        <v>2026</v>
      </c>
      <c r="D45" s="0">
        <f>SUMIFS(Реестр!$N$2:$N$36,Реестр!$E$2:$E$36,B45,Реестр!$Q$2:$Q$36,"&lt;&gt;*отказ*")</f>
        <v/>
      </c>
      <c r="E45" s="0">
        <f>COUNTIFS(Реестр!$E$2:$E$36,B45,Реестр!$Q$2:$Q$36,"&lt;&gt;*Отказ владельца*")</f>
        <v/>
      </c>
      <c r="F45" s="141" t="inlineStr">
        <is>
          <t>Samsung S25+, iPhone 17 Pro Max, Soyes F8 Pro Max, Nokia 6300 (Silver), Realme C75, POCO F9 Ultra, OnePlus 15 (CPH2749), Xiaomi Pad 7, Philips Xenium X175, Redmi Note 13 5G, Infinix GT 30 Pro, Xiaomi HyperCharge Power Bank 25000 (212 Вт)</t>
        </is>
      </c>
    </row>
    <row r="47">
      <c r="B47" s="134" t="inlineStr">
        <is>
          <t>Средняя батарея по годам моделей (мАч)</t>
        </is>
      </c>
    </row>
    <row r="48">
      <c r="B48" s="135" t="inlineStr">
        <is>
          <t>Год модели</t>
        </is>
      </c>
      <c r="D48" s="135" t="inlineStr">
        <is>
          <t>Батарея (мАч)</t>
        </is>
      </c>
      <c r="E48" s="112" t="inlineStr">
        <is>
          <t>Моделей</t>
        </is>
      </c>
      <c r="F48" s="112" t="inlineStr">
        <is>
          <t>Рекордсмен</t>
        </is>
      </c>
    </row>
    <row r="49">
      <c r="B49" s="0" t="n">
        <v>2007</v>
      </c>
      <c r="D49" s="140" t="n">
        <v>800</v>
      </c>
      <c r="E49" s="0" t="n">
        <v>1</v>
      </c>
      <c r="F49" s="141" t="inlineStr">
        <is>
          <t>Samsung SGH-C130 (800 мАч)</t>
        </is>
      </c>
    </row>
    <row r="50">
      <c r="B50" s="0" t="n">
        <v>2010</v>
      </c>
      <c r="D50" s="140" t="n">
        <v>830</v>
      </c>
      <c r="E50" s="0" t="n">
        <v>2</v>
      </c>
      <c r="F50" s="141" t="inlineStr">
        <is>
          <t>Nokia 6300 (860 мАч)</t>
        </is>
      </c>
    </row>
    <row r="51">
      <c r="B51" s="0" t="n">
        <v>2012</v>
      </c>
      <c r="D51" s="140" t="n">
        <v>1300</v>
      </c>
      <c r="E51" s="0" t="n">
        <v>1</v>
      </c>
      <c r="F51" s="141" t="inlineStr">
        <is>
          <t>Samsung Galaxy Mini 2 (1300 мАч)</t>
        </is>
      </c>
    </row>
    <row r="52">
      <c r="B52" s="0" t="n">
        <v>2013</v>
      </c>
      <c r="D52" s="140" t="n">
        <v>3000</v>
      </c>
      <c r="E52" s="0" t="n">
        <v>1</v>
      </c>
      <c r="F52" s="141" t="inlineStr">
        <is>
          <t>Sony Xperia Z1 (C6903) (3000 мАч)</t>
        </is>
      </c>
    </row>
    <row r="53">
      <c r="B53" s="0" t="n">
        <v>2014</v>
      </c>
      <c r="D53" s="140" t="n">
        <v>2000</v>
      </c>
      <c r="E53" s="0" t="n">
        <v>1</v>
      </c>
      <c r="F53" s="141" t="inlineStr">
        <is>
          <t>Lenovo A328 (2000 мАч)</t>
        </is>
      </c>
    </row>
    <row r="54">
      <c r="B54" s="0" t="n">
        <v>2015</v>
      </c>
      <c r="D54" s="140" t="n">
        <v>7000</v>
      </c>
      <c r="E54" s="0" t="n">
        <v>1</v>
      </c>
      <c r="F54" s="141" t="inlineStr">
        <is>
          <t>Lenovo Tab 2 A10-70L (7000 мАч)</t>
        </is>
      </c>
    </row>
    <row r="55">
      <c r="B55" s="0" t="n">
        <v>2016</v>
      </c>
      <c r="D55" s="140" t="n">
        <v>2000</v>
      </c>
      <c r="E55" s="0" t="n">
        <v>1</v>
      </c>
      <c r="F55" s="141" t="inlineStr">
        <is>
          <t>BQ Strike (2000 мАч)</t>
        </is>
      </c>
    </row>
    <row r="56">
      <c r="B56" s="0" t="n">
        <v>2017</v>
      </c>
      <c r="D56" s="140" t="n">
        <v>2000</v>
      </c>
      <c r="E56" s="0" t="n">
        <v>1</v>
      </c>
      <c r="F56" s="141" t="inlineStr">
        <is>
          <t>BQ-5035 Velvet (2000 мАч)</t>
        </is>
      </c>
    </row>
    <row r="57">
      <c r="B57" s="0" t="n">
        <v>2019</v>
      </c>
      <c r="D57" s="140" t="n">
        <v>600</v>
      </c>
      <c r="E57" s="0" t="n">
        <v>1</v>
      </c>
      <c r="F57" s="141" t="inlineStr">
        <is>
          <t>TeXet TM-130 (600 мАч)</t>
        </is>
      </c>
    </row>
    <row r="58">
      <c r="B58" s="0" t="n">
        <v>2021</v>
      </c>
      <c r="D58" s="140" t="n">
        <v>6000</v>
      </c>
      <c r="E58" s="0" t="n">
        <v>1</v>
      </c>
      <c r="F58" s="141" t="inlineStr">
        <is>
          <t>Infinix Hot 11 (6000 мАч)</t>
        </is>
      </c>
    </row>
    <row r="59">
      <c r="B59" s="0" t="n">
        <v>2022</v>
      </c>
      <c r="D59" s="140" t="n">
        <v>5000</v>
      </c>
      <c r="E59" s="0" t="n">
        <v>1</v>
      </c>
      <c r="F59" s="141" t="inlineStr">
        <is>
          <t>Infinix Hot 20i (X665E) (5000 мАч)</t>
        </is>
      </c>
    </row>
    <row r="60">
      <c r="B60" s="0" t="n">
        <v>2023</v>
      </c>
      <c r="D60" s="140" t="n">
        <v>6000</v>
      </c>
      <c r="E60" s="0" t="n">
        <v>2</v>
      </c>
      <c r="F60" s="141" t="inlineStr">
        <is>
          <t>P901 (OPPO CPH1821EX) (6000 мАч)</t>
        </is>
      </c>
    </row>
    <row r="61">
      <c r="B61" s="0" t="n">
        <v>2024</v>
      </c>
      <c r="D61" s="140" t="n">
        <v>5200</v>
      </c>
      <c r="E61" s="0" t="n">
        <v>1</v>
      </c>
      <c r="F61" s="141" t="inlineStr">
        <is>
          <t>Honor X7c (5200 мАч)</t>
        </is>
      </c>
    </row>
    <row r="62">
      <c r="B62" s="0" t="n">
        <v>2026</v>
      </c>
      <c r="D62" s="140" t="n">
        <v>6360</v>
      </c>
      <c r="E62" s="0" t="n">
        <v>8</v>
      </c>
      <c r="F62" s="141" t="inlineStr">
        <is>
          <t>Xiaomi Pad 7 (8850 мАч)</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2" customWidth="1" style="67" min="1" max="1"/>
    <col width="26" customWidth="1" style="67" min="2" max="2"/>
    <col width="50" customWidth="1" style="67" min="3" max="3"/>
    <col width="10" customWidth="1" style="67" min="4" max="4"/>
  </cols>
  <sheetData>
    <row r="2" ht="30" customHeight="1" s="67">
      <c r="B2" s="115" t="inlineStr">
        <is>
          <t>ЦИФРОВОЕ ХРОНОЛОГИЧЕСКОЕ ИЗДАНИЕ 2026</t>
        </is>
      </c>
    </row>
    <row r="3" ht="22" customHeight="1" s="67">
      <c r="B3" s="116" t="inlineStr">
        <is>
          <t>EXCEL-ВЕРСИЯ ФОНДА</t>
        </is>
      </c>
    </row>
    <row r="5">
      <c r="B5" s="117" t="inlineStr">
        <is>
          <t>Инвентарный №</t>
        </is>
      </c>
      <c r="C5" s="118" t="inlineStr">
        <is>
          <t>PH-2026</t>
        </is>
      </c>
    </row>
    <row r="6">
      <c r="B6" s="117" t="inlineStr">
        <is>
          <t>Записей</t>
        </is>
      </c>
      <c r="C6" s="118" t="n">
        <v>35</v>
      </c>
    </row>
    <row r="7">
      <c r="B7" s="117" t="inlineStr">
        <is>
          <t>Охват</t>
        </is>
      </c>
      <c r="C7" s="118" t="inlineStr">
        <is>
          <t>2007–2026 · 20 лет</t>
        </is>
      </c>
    </row>
    <row r="8">
      <c r="B8" s="117" t="inlineStr">
        <is>
          <t>Экспонатов</t>
        </is>
      </c>
      <c r="C8" s="118" t="inlineStr">
        <is>
          <t>28 · отказных заказов: 7</t>
        </is>
      </c>
    </row>
    <row r="9">
      <c r="B9" s="117" t="inlineStr">
        <is>
          <t>Место</t>
        </is>
      </c>
      <c r="C9" s="118" t="inlineStr">
        <is>
          <t>Россия, Республика Крым,</t>
        </is>
      </c>
    </row>
    <row r="10">
      <c r="B10" s="117" t="inlineStr"/>
      <c r="C10" s="118" t="inlineStr">
        <is>
          <t>с. Ильинка, Красноперекопский район</t>
        </is>
      </c>
    </row>
    <row r="11">
      <c r="B11" s="117" t="inlineStr">
        <is>
          <t>Основание фонда</t>
        </is>
      </c>
      <c r="C11" s="118" t="inlineStr">
        <is>
          <t>26 сентября 2026 г.</t>
        </is>
      </c>
    </row>
    <row r="12">
      <c r="B12" s="117" t="inlineStr">
        <is>
          <t>Автор</t>
        </is>
      </c>
      <c r="C12" s="118" t="inlineStr">
        <is>
          <t>Лысогорский Д. С.</t>
        </is>
      </c>
    </row>
    <row r="13">
      <c r="B13" s="117" t="inlineStr">
        <is>
          <t>Соавтор</t>
        </is>
      </c>
      <c r="C13" s="118" t="inlineStr">
        <is>
          <t>Яндекс Алиса (поиск информации)</t>
        </is>
      </c>
    </row>
    <row r="14">
      <c r="B14" s="117" t="inlineStr">
        <is>
          <t>Excel-сборка</t>
        </is>
      </c>
      <c r="C14" s="118" t="inlineStr">
        <is>
          <t>17.10.2026 — v4.8 · отмена подтехник № 14.1 (HOCO X50) и № 14.2 (Xiaomi 120W HyperCharge): дубль комплектного кабеля и блока питания Короля; № 17 (Xiaomi Pad 7) → ЗАКРЫТО; память 0a/0b/0c → МБ; чистка огрызков эмодзи (v4.7: приход № 21 TeXet TM-130) · v4.9 (20.10.2026): дашборд с живыми формулами, выпадающие списки, цветовая шкала цен, красный штамп ОТМЕНЁН, диаграммы приходов и батарей</t>
        </is>
      </c>
    </row>
    <row r="15">
      <c r="B15" s="0" t="inlineStr">
        <is>
          <t>Модернизация v4.9.3 · 20.10.2026 — печать № 21: префикс Статистики (62 формулы), Итого-суммы, MIN/MAX-хелпер вместо MINIFS/MAXIFS, ширины колонок, лог-шкала графика приходов, доп. колонки таблиц Дашборда, фикс гиперссылок дел</t>
        </is>
      </c>
      <c r="C15" s="0" t="inlineStr">
        <is>
          <t>v4.9.1 · печать № 19 · 20.10.2026 · фикс формул Статистики и KPI отказных (канон: 7)</t>
        </is>
      </c>
    </row>
    <row r="16">
      <c r="B16" s="111" t="inlineStr">
        <is>
          <t>Легенда категорий</t>
        </is>
      </c>
    </row>
    <row r="17">
      <c r="B17" s="113" t="inlineStr">
        <is>
          <t>На службе</t>
        </is>
      </c>
      <c r="C17" s="119" t="n">
        <v>5</v>
      </c>
    </row>
    <row r="18">
      <c r="B18" s="113" t="inlineStr">
        <is>
          <t>Ветераны</t>
        </is>
      </c>
      <c r="C18" s="119" t="n">
        <v>2</v>
      </c>
    </row>
    <row r="19">
      <c r="B19" s="113" t="inlineStr">
        <is>
          <t>Подтехники</t>
        </is>
      </c>
      <c r="C19" s="119" t="n">
        <v>1</v>
      </c>
    </row>
    <row r="20">
      <c r="B20" s="113" t="inlineStr">
        <is>
          <t>В пути · упразднена 16.10.2026</t>
        </is>
      </c>
      <c r="C20" s="119" t="n">
        <v>0</v>
      </c>
    </row>
    <row r="21">
      <c r="B21" s="113" t="inlineStr">
        <is>
          <t>Альтернативная ветка</t>
        </is>
      </c>
      <c r="C21" s="119" t="n">
        <v>1</v>
      </c>
    </row>
    <row r="22">
      <c r="B22" s="113" t="inlineStr">
        <is>
          <t>Археология</t>
        </is>
      </c>
      <c r="C22" s="119" t="n">
        <v>5</v>
      </c>
    </row>
    <row r="23">
      <c r="B23" s="113" t="inlineStr">
        <is>
          <t>Ушли и прочие</t>
        </is>
      </c>
      <c r="C23" s="119" t="n">
        <v>21</v>
      </c>
    </row>
    <row r="25">
      <c r="B25" s="108" t="inlineStr">
        <is>
          <t>История правок ведётся на листе «Исправления»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36"/>
  <sheetViews>
    <sheetView showGridLines="0" tabSelected="1" topLeftCell="B1" zoomScale="142" workbookViewId="0">
      <pane xSplit="2" ySplit="1" topLeftCell="C2" activePane="bottomRight" state="frozen"/>
      <selection pane="topRight" activeCell="A1" sqref="A1"/>
      <selection pane="bottomLeft" activeCell="A1" sqref="A1"/>
      <selection pane="bottomRight" activeCell="U13" sqref="U13"/>
    </sheetView>
  </sheetViews>
  <sheetFormatPr baseColWidth="8" defaultColWidth="10" defaultRowHeight="15"/>
  <cols>
    <col width="7" customWidth="1" style="67" min="1" max="1"/>
    <col width="26" customWidth="1" style="67" min="2" max="2"/>
    <col width="15" customWidth="1" style="67" min="3" max="3"/>
    <col width="10" customWidth="1" style="67" min="4" max="4"/>
    <col width="10" customWidth="1" style="67" min="5" max="5"/>
    <col width="9" customWidth="1" style="67" min="6" max="6"/>
    <col width="9" customWidth="1" style="67" min="7" max="7"/>
    <col width="9" customWidth="1" style="67" min="8" max="8"/>
    <col width="6" customWidth="1" style="67" min="9" max="9"/>
    <col width="12" customWidth="1" style="67" min="10" max="10"/>
    <col width="11" customWidth="1" style="67" min="11" max="11"/>
    <col width="9" customWidth="1" style="67" min="12" max="12"/>
    <col width="11" customWidth="1" style="67" min="13" max="13"/>
    <col width="11" customWidth="1" style="67" min="14" max="14"/>
    <col width="26" customWidth="1" style="67" min="15" max="15"/>
    <col width="26" customWidth="1" style="67" min="16" max="16"/>
    <col width="18" customWidth="1" style="67" min="17" max="17"/>
    <col width="12" customWidth="1" style="67" min="18" max="18"/>
    <col width="14" customWidth="1" style="67" min="19" max="19"/>
    <col width="90" customWidth="1" style="67" min="20" max="20"/>
    <col width="12" customWidth="1" style="67" min="21" max="21"/>
    <col width="9" customWidth="1" style="67" min="22" max="22"/>
    <col hidden="1" width="13" customWidth="1" style="67" min="23" max="23"/>
  </cols>
  <sheetData>
    <row r="1">
      <c r="A1" s="14" t="inlineStr">
        <is>
          <t>ID</t>
        </is>
      </c>
      <c r="B1" s="14" t="inlineStr">
        <is>
          <t>Устройство</t>
        </is>
      </c>
      <c r="C1" s="14" t="inlineStr">
        <is>
          <t>Категория</t>
        </is>
      </c>
      <c r="D1" s="14" t="inlineStr">
        <is>
          <t>Год модели</t>
        </is>
      </c>
      <c r="E1" s="14" t="inlineStr">
        <is>
          <t>Год прихода</t>
        </is>
      </c>
      <c r="F1" s="14" t="inlineStr">
        <is>
          <t>ПЗУ (ГБ)</t>
        </is>
      </c>
      <c r="G1" s="14" t="inlineStr">
        <is>
          <t>ОЗУ (ГБ)</t>
        </is>
      </c>
      <c r="H1" s="14" t="inlineStr">
        <is>
          <t>Экран (")</t>
        </is>
      </c>
      <c r="I1" s="14" t="inlineStr">
        <is>
          <t>Гц</t>
        </is>
      </c>
      <c r="J1" s="14" t="inlineStr">
        <is>
          <t>Батарея (мАч)</t>
        </is>
      </c>
      <c r="K1" s="14" t="inlineStr">
        <is>
          <t>Камера (МП)</t>
        </is>
      </c>
      <c r="L1" s="14" t="inlineStr">
        <is>
          <t>CPU (ГГц)</t>
        </is>
      </c>
      <c r="M1" s="14" t="inlineStr">
        <is>
          <t>Зарядка (Вт)</t>
        </is>
      </c>
      <c r="N1" s="14" t="inlineStr">
        <is>
          <t>Цена (₽)</t>
        </is>
      </c>
      <c r="O1" s="14" t="inlineStr">
        <is>
          <t>Цена (текст)</t>
        </is>
      </c>
      <c r="P1" s="14" t="inlineStr">
        <is>
          <t>Память (текст)</t>
        </is>
      </c>
      <c r="Q1" s="14" t="inlineStr">
        <is>
          <t>Статус</t>
        </is>
      </c>
      <c r="R1" s="14" t="inlineStr">
        <is>
          <t>Цвет</t>
        </is>
      </c>
      <c r="S1" s="14" t="inlineStr">
        <is>
          <t>Источник</t>
        </is>
      </c>
      <c r="T1" s="14" t="inlineStr">
        <is>
          <t>Заметки</t>
        </is>
      </c>
      <c r="U1" s="15" t="inlineStr">
        <is>
          <t>→ Дело</t>
        </is>
      </c>
      <c r="V1" s="0" t="inlineStr">
        <is>
          <t>Флаг</t>
        </is>
      </c>
      <c r="W1" s="142" t="inlineStr">
        <is>
          <t>Цена купл. (хелпер)</t>
        </is>
      </c>
    </row>
    <row r="2">
      <c r="A2" s="16" t="inlineStr">
        <is>
          <t>0a</t>
        </is>
      </c>
      <c r="B2" s="17" t="inlineStr">
        <is>
          <t>Samsung SGH-C130</t>
        </is>
      </c>
      <c r="C2" s="18" t="inlineStr">
        <is>
          <t>Археология</t>
        </is>
      </c>
      <c r="D2" s="19" t="n">
        <v>2007</v>
      </c>
      <c r="E2" s="19" t="n">
        <v>2007</v>
      </c>
      <c r="F2" s="20" t="inlineStr">
        <is>
          <t>2 МБ</t>
        </is>
      </c>
      <c r="G2" s="21" t="n"/>
      <c r="H2" s="22" t="n">
        <v>1.5</v>
      </c>
      <c r="I2" s="23" t="n"/>
      <c r="J2" s="24" t="n">
        <v>800</v>
      </c>
      <c r="K2" s="25" t="n"/>
      <c r="L2" s="26" t="n"/>
      <c r="M2" s="27" t="n"/>
      <c r="N2" s="28" t="n">
        <v>2300</v>
      </c>
      <c r="O2" s="17" t="inlineStr">
        <is>
          <t>~2 300 ₽</t>
        </is>
      </c>
      <c r="P2" s="17" t="inlineStr">
        <is>
          <t>2 МБ</t>
        </is>
      </c>
      <c r="Q2" s="17" t="inlineStr">
        <is>
          <t>Доисторическая эра</t>
        </is>
      </c>
      <c r="R2" s="16" t="inlineStr">
        <is>
          <t>Синий</t>
        </is>
      </c>
      <c r="S2" s="16" t="inlineStr">
        <is>
          <t>—</t>
        </is>
      </c>
      <c r="T2" s="17" t="inlineStr">
        <is>
          <t>1,5" CSTN (128×128), 65 536 цветов. Батарея 800 мАч. Вес 75 г. Лёгкий, FM-радио.</t>
        </is>
      </c>
      <c r="U2" s="29">
        <f>HYPERLINK("#'Личные дела'!A2","открыть ▸")</f>
        <v/>
      </c>
      <c r="W2" s="0">
        <f>IF(AND($N2&gt;0,NOT(ISNUMBER(SEARCH("Отказ владельца",$Q2)))),$N2,"")</f>
        <v/>
      </c>
    </row>
    <row r="3">
      <c r="A3" s="30" t="inlineStr">
        <is>
          <t>0b</t>
        </is>
      </c>
      <c r="B3" s="31" t="inlineStr">
        <is>
          <t>Samsung E250</t>
        </is>
      </c>
      <c r="C3" s="18" t="inlineStr">
        <is>
          <t>Археология</t>
        </is>
      </c>
      <c r="D3" s="32" t="n">
        <v>2010</v>
      </c>
      <c r="E3" s="32" t="n">
        <v>2010</v>
      </c>
      <c r="F3" s="33" t="inlineStr">
        <is>
          <t>10 МБ</t>
        </is>
      </c>
      <c r="G3" s="34" t="inlineStr">
        <is>
          <t>16 МБ</t>
        </is>
      </c>
      <c r="H3" s="35" t="n">
        <v>2</v>
      </c>
      <c r="I3" s="36" t="n"/>
      <c r="J3" s="37" t="n">
        <v>800</v>
      </c>
      <c r="K3" s="38" t="n">
        <v>0.3</v>
      </c>
      <c r="L3" s="39" t="n">
        <v>0.23</v>
      </c>
      <c r="M3" s="40" t="n"/>
      <c r="N3" s="41" t="n">
        <v>2630</v>
      </c>
      <c r="O3" s="31" t="inlineStr">
        <is>
          <t>~2 630 ₽</t>
        </is>
      </c>
      <c r="P3" s="31" t="inlineStr">
        <is>
          <t>10 МБ + microSD до 2 ГБ</t>
        </is>
      </c>
      <c r="Q3" s="31" t="inlineStr">
        <is>
          <t>Доисторическая эра</t>
        </is>
      </c>
      <c r="R3" s="30" t="inlineStr">
        <is>
          <t>Silver</t>
        </is>
      </c>
      <c r="S3" s="30" t="inlineStr">
        <is>
          <t>—</t>
        </is>
      </c>
      <c r="T3" s="31" t="inlineStr">
        <is>
          <t>2" TFT (128×160), 0,3 МП камера. ARM9 230 МГц. ОЗУ 16 МБ. Батарея 800 мАч. Звук выдвижения — «душа телефона».</t>
        </is>
      </c>
      <c r="U3" s="29">
        <f>HYPERLINK("#'Личные дела'!A3","открыть ▸")</f>
        <v/>
      </c>
      <c r="W3" s="0">
        <f>IF(AND($N3&gt;0,NOT(ISNUMBER(SEARCH("Отказ владельца",$Q3)))),$N3,"")</f>
        <v/>
      </c>
      <c r="X3" s="0">
        <f>IF(ISNUMBER(SEARCH("Отказ владельца",$Q3)),"ОТКАЗ","ОК")</f>
        <v/>
      </c>
    </row>
    <row r="4">
      <c r="A4" s="16" t="inlineStr">
        <is>
          <t>0c</t>
        </is>
      </c>
      <c r="B4" s="17" t="inlineStr">
        <is>
          <t>Nokia 6300</t>
        </is>
      </c>
      <c r="C4" s="18" t="inlineStr">
        <is>
          <t>Археология</t>
        </is>
      </c>
      <c r="D4" s="19" t="n">
        <v>2010</v>
      </c>
      <c r="E4" s="19" t="n">
        <v>2010</v>
      </c>
      <c r="F4" s="20" t="inlineStr">
        <is>
          <t>7,8 МБ</t>
        </is>
      </c>
      <c r="G4" s="21" t="n"/>
      <c r="H4" s="22" t="n">
        <v>2</v>
      </c>
      <c r="I4" s="23" t="n"/>
      <c r="J4" s="24" t="n">
        <v>860</v>
      </c>
      <c r="K4" s="25" t="n">
        <v>2</v>
      </c>
      <c r="L4" s="26" t="n"/>
      <c r="M4" s="27" t="n"/>
      <c r="N4" s="28" t="n">
        <v>5415</v>
      </c>
      <c r="O4" s="17" t="inlineStr">
        <is>
          <t>~4 170–5 415 ₽</t>
        </is>
      </c>
      <c r="P4" s="17" t="inlineStr">
        <is>
          <t>7,8 МБ + microSD до 2 ГБ</t>
        </is>
      </c>
      <c r="Q4" s="17" t="inlineStr">
        <is>
          <t>Доисторическая эра</t>
        </is>
      </c>
      <c r="R4" s="16" t="inlineStr">
        <is>
          <t>Silver</t>
        </is>
      </c>
      <c r="S4" s="16" t="inlineStr">
        <is>
          <t>—</t>
        </is>
      </c>
      <c r="T4" s="17" t="inlineStr">
        <is>
          <t>2" TFT (240×320), 2 МП камера. Батарея 860 мАч. Корпус: сталь + пластик. Икона эпохи, вторая как резерв.</t>
        </is>
      </c>
      <c r="U4" s="29">
        <f>HYPERLINK("#'Личные дела'!A4","открыть ▸")</f>
        <v/>
      </c>
      <c r="W4" s="0">
        <f>IF(AND($N4&gt;0,NOT(ISNUMBER(SEARCH("Отказ владельца",$Q4)))),$N4,"")</f>
        <v/>
      </c>
      <c r="Y4" s="0">
        <f>IF(ISNUMBER(SEARCH("Отказ владельца",$Q4)),"ОТКАЗ","ОК")</f>
        <v/>
      </c>
    </row>
    <row r="5">
      <c r="A5" s="30" t="inlineStr">
        <is>
          <t>0d</t>
        </is>
      </c>
      <c r="B5" s="31" t="inlineStr">
        <is>
          <t>Безымянные кнопочные</t>
        </is>
      </c>
      <c r="C5" s="18" t="inlineStr">
        <is>
          <t>Археология</t>
        </is>
      </c>
      <c r="D5" s="32" t="n">
        <v>2010</v>
      </c>
      <c r="E5" s="32" t="n">
        <v>2010</v>
      </c>
      <c r="F5" s="33" t="n"/>
      <c r="G5" s="34" t="n"/>
      <c r="H5" s="35" t="n"/>
      <c r="I5" s="36" t="n"/>
      <c r="J5" s="37" t="n"/>
      <c r="K5" s="38" t="n"/>
      <c r="L5" s="39" t="n"/>
      <c r="M5" s="40" t="n"/>
      <c r="N5" s="41" t="n"/>
      <c r="O5" s="31" t="inlineStr">
        <is>
          <t>—</t>
        </is>
      </c>
      <c r="P5" s="31" t="inlineStr">
        <is>
          <t>—</t>
        </is>
      </c>
      <c r="Q5" s="31" t="inlineStr">
        <is>
          <t>Доисторическая эра</t>
        </is>
      </c>
      <c r="R5" s="30" t="inlineStr">
        <is>
          <t>—</t>
        </is>
      </c>
      <c r="S5" s="30" t="inlineStr">
        <is>
          <t>—</t>
        </is>
      </c>
      <c r="T5" s="31" t="inlineStr">
        <is>
          <t>«Серые» аппараты, без точных характеристик.</t>
        </is>
      </c>
      <c r="U5" s="29">
        <f>HYPERLINK("#'Личные дела'!A5","открыть ▸")</f>
        <v/>
      </c>
      <c r="W5" s="0">
        <f>IF(AND($N5&gt;0,NOT(ISNUMBER(SEARCH("Отказ владельца",$Q5)))),$N5,"")</f>
        <v/>
      </c>
      <c r="Z5" s="0">
        <f>IF(ISNUMBER(SEARCH("Отказ владельца",$Q5)),"ОТКАЗ","ОК")</f>
        <v/>
      </c>
    </row>
    <row r="6">
      <c r="A6" s="16" t="inlineStr">
        <is>
          <t>1</t>
        </is>
      </c>
      <c r="B6" s="17" t="inlineStr">
        <is>
          <t>Samsung Galaxy Mini 2</t>
        </is>
      </c>
      <c r="C6" s="18" t="inlineStr">
        <is>
          <t>Археология</t>
        </is>
      </c>
      <c r="D6" s="19" t="n">
        <v>2012</v>
      </c>
      <c r="E6" s="19" t="n">
        <v>2012</v>
      </c>
      <c r="F6" s="20" t="n">
        <v>4</v>
      </c>
      <c r="G6" s="21" t="n">
        <v>0.512</v>
      </c>
      <c r="H6" s="22" t="n">
        <v>3.27</v>
      </c>
      <c r="I6" s="23" t="n"/>
      <c r="J6" s="24" t="n">
        <v>1300</v>
      </c>
      <c r="K6" s="25" t="n">
        <v>3</v>
      </c>
      <c r="L6" s="26" t="n">
        <v>0.8</v>
      </c>
      <c r="M6" s="27" t="n"/>
      <c r="N6" s="28" t="n">
        <v>8990</v>
      </c>
      <c r="O6" s="17" t="inlineStr">
        <is>
          <t>~8 490–8 990 ₽</t>
        </is>
      </c>
      <c r="P6" s="17" t="inlineStr">
        <is>
          <t>4 ГБ + microSD до 32 ГБ</t>
        </is>
      </c>
      <c r="Q6" s="17" t="inlineStr">
        <is>
          <t>Артефакт</t>
        </is>
      </c>
      <c r="R6" s="16" t="inlineStr">
        <is>
          <t>Yellow</t>
        </is>
      </c>
      <c r="S6" s="16" t="inlineStr">
        <is>
          <t>—</t>
        </is>
      </c>
      <c r="T6" s="17" t="inlineStr">
        <is>
          <t>3,27" TFT (320×480), 3 МП камера. Qualcomm MSM7227A 800 МГц. ОЗУ 512 МБ. Android 2.3. Батарея 1 300 мАч. Первый смартфон, открыл интернет.</t>
        </is>
      </c>
      <c r="U6" s="29">
        <f>HYPERLINK("#'Личные дела'!A6","открыть ▸")</f>
        <v/>
      </c>
      <c r="W6" s="0">
        <f>IF(AND($N6&gt;0,NOT(ISNUMBER(SEARCH("Отказ владельца",$Q6)))),$N6,"")</f>
        <v/>
      </c>
      <c r="AA6" s="0">
        <f>IF(ISNUMBER(SEARCH("Отказ владельца",$Q6)),"ОТКАЗ","ОК")</f>
        <v/>
      </c>
    </row>
    <row r="7">
      <c r="A7" s="30" t="inlineStr">
        <is>
          <t>2</t>
        </is>
      </c>
      <c r="B7" s="31" t="inlineStr">
        <is>
          <t>Lenovo A328</t>
        </is>
      </c>
      <c r="C7" s="42" t="inlineStr">
        <is>
          <t>Ушли и прочие</t>
        </is>
      </c>
      <c r="D7" s="32" t="n">
        <v>2014</v>
      </c>
      <c r="E7" s="32" t="n">
        <v>2014</v>
      </c>
      <c r="F7" s="33" t="n">
        <v>4</v>
      </c>
      <c r="G7" s="34" t="n">
        <v>1</v>
      </c>
      <c r="H7" s="35" t="n">
        <v>4.5</v>
      </c>
      <c r="I7" s="36" t="n"/>
      <c r="J7" s="37" t="n">
        <v>2000</v>
      </c>
      <c r="K7" s="38" t="n">
        <v>5</v>
      </c>
      <c r="L7" s="39" t="n">
        <v>1.3</v>
      </c>
      <c r="M7" s="40" t="n"/>
      <c r="N7" s="41" t="n">
        <v>4490</v>
      </c>
      <c r="O7" s="31" t="inlineStr">
        <is>
          <t>~4 490 ₽</t>
        </is>
      </c>
      <c r="P7" s="31" t="inlineStr">
        <is>
          <t>1 ГБ ОЗУ, 4 ГБ ПЗУ + microSD до 32 ГБ</t>
        </is>
      </c>
      <c r="Q7" s="31" t="inlineStr">
        <is>
          <t>Ушёл</t>
        </is>
      </c>
      <c r="R7" s="30" t="inlineStr">
        <is>
          <t>Black</t>
        </is>
      </c>
      <c r="S7" s="30" t="inlineStr">
        <is>
          <t>—</t>
        </is>
      </c>
      <c r="T7" s="31" t="inlineStr">
        <is>
          <t>4,5" TFT (854×480). MediaTek MT6582M, 4×1,3 ГГц. Android 4.4. Камеры 5 МП + 2 МП. Батарея 2 000 мАч (съёмная). 132×68,5×11 мм, 140 г. 2 SIM. Опознан по фото владельца. В школе по приколу хотели выкинуть из окна с третьего этажа.</t>
        </is>
      </c>
      <c r="U7" s="29">
        <f>HYPERLINK("#'Личные дела'!A7","открыть ▸")</f>
        <v/>
      </c>
      <c r="W7" s="0">
        <f>IF(AND($N7&gt;0,NOT(ISNUMBER(SEARCH("Отказ владельца",$Q7)))),$N7,"")</f>
        <v/>
      </c>
      <c r="AB7" s="0">
        <f>IF(ISNUMBER(SEARCH("Отказ владельца",$Q7)),"ОТКАЗ","ОК")</f>
        <v/>
      </c>
    </row>
    <row r="8">
      <c r="A8" s="16" t="inlineStr">
        <is>
          <t>2b</t>
        </is>
      </c>
      <c r="B8" s="17" t="inlineStr">
        <is>
          <t>Lenovo Tab 2 A10-70L</t>
        </is>
      </c>
      <c r="C8" s="42" t="inlineStr">
        <is>
          <t>Ушли и прочие</t>
        </is>
      </c>
      <c r="D8" s="19" t="n">
        <v>2015</v>
      </c>
      <c r="E8" s="19" t="n">
        <v>2015</v>
      </c>
      <c r="F8" s="20" t="n">
        <v>16</v>
      </c>
      <c r="G8" s="21" t="n">
        <v>2</v>
      </c>
      <c r="H8" s="22" t="n">
        <v>10.1</v>
      </c>
      <c r="I8" s="23" t="n"/>
      <c r="J8" s="24" t="n">
        <v>7000</v>
      </c>
      <c r="K8" s="25" t="n"/>
      <c r="L8" s="26" t="n"/>
      <c r="M8" s="27" t="n"/>
      <c r="N8" s="28" t="n">
        <v>17990</v>
      </c>
      <c r="O8" s="17" t="inlineStr">
        <is>
          <t>~17 990 ₽</t>
        </is>
      </c>
      <c r="P8" s="17" t="inlineStr">
        <is>
          <t>2 ГБ ОЗУ, 16 ГБ ПЗУ + microSD до 64 ГБ</t>
        </is>
      </c>
      <c r="Q8" s="17" t="inlineStr">
        <is>
          <t>Убит яростью</t>
        </is>
      </c>
      <c r="R8" s="16" t="inlineStr">
        <is>
          <t>Pearl White</t>
        </is>
      </c>
      <c r="S8" s="16" t="inlineStr">
        <is>
          <t>—</t>
        </is>
      </c>
      <c r="T8" s="17" t="inlineStr">
        <is>
          <t>10,1" IPS (1920×1200). MediaTek MT8732. Android 4.4 → 5.0. Батарея 7000 мАч. 247×171×8,9 мм, 509 г. Любил слушать музыку . Geometry Dash ставил паузу каждые несколько секунд — разбит кулаком/коленом. Модель опознана по фото владельца.</t>
        </is>
      </c>
      <c r="U8" s="29">
        <f>HYPERLINK("#'Личные дела'!A8","открыть ▸")</f>
        <v/>
      </c>
      <c r="W8" s="0">
        <f>IF(AND($N8&gt;0,NOT(ISNUMBER(SEARCH("Отказ владельца",$Q8)))),$N8,"")</f>
        <v/>
      </c>
      <c r="AC8" s="0">
        <f>IF(ISNUMBER(SEARCH("Отказ владельца",$Q8)),"ОТКАЗ","ОК")</f>
        <v/>
      </c>
    </row>
    <row r="9">
      <c r="A9" s="30" t="inlineStr">
        <is>
          <t>2c</t>
        </is>
      </c>
      <c r="B9" s="31" t="inlineStr">
        <is>
          <t>Sony Xperia Z1 (C6903)</t>
        </is>
      </c>
      <c r="C9" s="42" t="inlineStr">
        <is>
          <t>Ушли и прочие</t>
        </is>
      </c>
      <c r="D9" s="32" t="n">
        <v>2013</v>
      </c>
      <c r="E9" s="32" t="n">
        <v>2018</v>
      </c>
      <c r="F9" s="33" t="n">
        <v>16</v>
      </c>
      <c r="G9" s="34" t="n">
        <v>2</v>
      </c>
      <c r="H9" s="35" t="n">
        <v>5</v>
      </c>
      <c r="I9" s="36" t="n"/>
      <c r="J9" s="37" t="n">
        <v>3000</v>
      </c>
      <c r="K9" s="38" t="n">
        <v>20.7</v>
      </c>
      <c r="L9" s="39" t="n">
        <v>2.2</v>
      </c>
      <c r="M9" s="40" t="n"/>
      <c r="N9" s="41" t="n"/>
      <c r="O9" s="31" t="inlineStr">
        <is>
          <t>Дар (вероятно, от отца); старт 2013: ~29 990 ₽</t>
        </is>
      </c>
      <c r="P9" s="31" t="inlineStr">
        <is>
          <t>16 ГБ + microSD до 64 ГБ, ОЗУ 2 ГБ</t>
        </is>
      </c>
      <c r="Q9" s="31" t="inlineStr">
        <is>
          <t>Ушёл</t>
        </is>
      </c>
      <c r="R9" s="30" t="inlineStr">
        <is>
          <t>Black</t>
        </is>
      </c>
      <c r="S9" s="30" t="inlineStr">
        <is>
          <t>—</t>
        </is>
      </c>
      <c r="T9" s="31" t="inlineStr">
        <is>
          <t>5" TFT (1920×1080), 16:9. Snapdragon 800 (MSM8974), 4×2,2 ГГц. Камера 20,7 МП Exmor RS, фронт 2 МП. Батарея 3 000 мАч (несъёмная). Android 4.2.2 → 5.1.1. IP55/IP58: заглушки на USB и слоте карт, кнопка спуска камеры на правом боку. OmniBalance: 146×74×8,5 мм, 171 г. Опознан по фото владельца; 16.10.2026 переприписан с Xperia 1 (J9110) по памяти владельца.</t>
        </is>
      </c>
      <c r="U9" s="29">
        <f>HYPERLINK("#'Личные дела'!A9","открыть ▸")</f>
        <v/>
      </c>
      <c r="W9" s="0">
        <f>IF(AND($N9&gt;0,NOT(ISNUMBER(SEARCH("Отказ владельца",$Q9)))),$N9,"")</f>
        <v/>
      </c>
      <c r="AD9" s="0">
        <f>IF(ISNUMBER(SEARCH("Отказ владельца",$Q9)),"ОТКАЗ","ОК")</f>
        <v/>
      </c>
    </row>
    <row r="10">
      <c r="A10" s="16" t="inlineStr">
        <is>
          <t>3</t>
        </is>
      </c>
      <c r="B10" s="17" t="inlineStr">
        <is>
          <t>BQ-5035 Velvet</t>
        </is>
      </c>
      <c r="C10" s="42" t="inlineStr">
        <is>
          <t>Ушли и прочие</t>
        </is>
      </c>
      <c r="D10" s="19" t="n">
        <v>2017</v>
      </c>
      <c r="E10" s="19" t="n">
        <v>2017</v>
      </c>
      <c r="F10" s="20" t="n">
        <v>8</v>
      </c>
      <c r="G10" s="21" t="n">
        <v>1</v>
      </c>
      <c r="H10" s="22" t="n">
        <v>5</v>
      </c>
      <c r="I10" s="23" t="n"/>
      <c r="J10" s="24" t="n">
        <v>2000</v>
      </c>
      <c r="K10" s="25" t="n">
        <v>8</v>
      </c>
      <c r="L10" s="26" t="n">
        <v>1.3</v>
      </c>
      <c r="M10" s="27" t="n"/>
      <c r="N10" s="28" t="n">
        <v>4190</v>
      </c>
      <c r="O10" s="17" t="inlineStr">
        <is>
          <t>2 500 ₽ (покупка); ~4 190 ₽ (старт продаж)</t>
        </is>
      </c>
      <c r="P10" s="17" t="inlineStr">
        <is>
          <t>8 ГБ + microSD до 64 ГБ, ОЗУ 1 ГБ</t>
        </is>
      </c>
      <c r="Q10" s="17" t="inlineStr">
        <is>
          <t>Бесследно утерян</t>
        </is>
      </c>
      <c r="R10" s="16" t="inlineStr">
        <is>
          <t>Gold</t>
        </is>
      </c>
      <c r="S10" s="16" t="inlineStr">
        <is>
          <t>«Парк»</t>
        </is>
      </c>
      <c r="T10" s="17" t="inlineStr">
        <is>
          <t>5" IPS (854×480), 8 МП + 5 МП камеры. MediaTek MT6580M 1,3 ГГц. Android 7.0. Батарея 2 000 мАч — сдулась к прим. 2022. Разряжался на 30–40% за 30–40 минут поездки. Год выпуска подтверждён: сентябрь 2017.</t>
        </is>
      </c>
      <c r="U10" s="29">
        <f>HYPERLINK("#'Личные дела'!A10","открыть ▸")</f>
        <v/>
      </c>
      <c r="W10" s="0">
        <f>IF(AND($N10&gt;0,NOT(ISNUMBER(SEARCH("Отказ владельца",$Q10)))),$N10,"")</f>
        <v/>
      </c>
      <c r="AE10" s="0">
        <f>IF(ISNUMBER(SEARCH("Отказ владельца",$Q10)),"ОТКАЗ","ОК")</f>
        <v/>
      </c>
    </row>
    <row r="11">
      <c r="A11" s="30" t="inlineStr">
        <is>
          <t>4</t>
        </is>
      </c>
      <c r="B11" s="31" t="inlineStr">
        <is>
          <t>BQ Strike</t>
        </is>
      </c>
      <c r="C11" s="42" t="inlineStr">
        <is>
          <t>Ушли и прочие</t>
        </is>
      </c>
      <c r="D11" s="32" t="n">
        <v>2016</v>
      </c>
      <c r="E11" s="32" t="n">
        <v>2016</v>
      </c>
      <c r="F11" s="33" t="n">
        <v>8</v>
      </c>
      <c r="G11" s="34" t="n">
        <v>1</v>
      </c>
      <c r="H11" s="35" t="n">
        <v>5</v>
      </c>
      <c r="I11" s="36" t="n"/>
      <c r="J11" s="37" t="n">
        <v>2000</v>
      </c>
      <c r="K11" s="38" t="n">
        <v>13</v>
      </c>
      <c r="L11" s="39" t="n">
        <v>1.3</v>
      </c>
      <c r="M11" s="40" t="n"/>
      <c r="N11" s="41" t="n">
        <v>2500</v>
      </c>
      <c r="O11" s="31" t="inlineStr">
        <is>
          <t>~2 500 ₽</t>
        </is>
      </c>
      <c r="P11" s="31" t="inlineStr">
        <is>
          <t>8 ГБ + microSD до 32 ГБ, ОЗУ 1 ГБ</t>
        </is>
      </c>
      <c r="Q11" s="31" t="inlineStr">
        <is>
          <t>Источник «грязного провода»</t>
        </is>
      </c>
      <c r="R11" s="30" t="inlineStr">
        <is>
          <t>Синий</t>
        </is>
      </c>
      <c r="S11" s="30" t="inlineStr">
        <is>
          <t>Сарай</t>
        </is>
      </c>
      <c r="T11" s="31" t="inlineStr">
        <is>
          <t>5" IPS (1280×720), 13 МП + 5 МП камеры. MediaTek MT6580 1,3 ГГц. Android 6.0. Металлический корпус. Батарея 2 000 мАч. Провод убил Infinix.</t>
        </is>
      </c>
      <c r="U11" s="29">
        <f>HYPERLINK("#'Личные дела'!A11","открыть ▸")</f>
        <v/>
      </c>
      <c r="W11" s="0">
        <f>IF(AND($N11&gt;0,NOT(ISNUMBER(SEARCH("Отказ владельца",$Q11)))),$N11,"")</f>
        <v/>
      </c>
      <c r="AF11" s="0">
        <f>IF(ISNUMBER(SEARCH("Отказ владельца",$Q11)),"ОТКАЗ","ОК")</f>
        <v/>
      </c>
    </row>
    <row r="12">
      <c r="A12" s="16" t="inlineStr">
        <is>
          <t>5</t>
        </is>
      </c>
      <c r="B12" s="17" t="inlineStr">
        <is>
          <t>Infinix Hot 11</t>
        </is>
      </c>
      <c r="C12" s="42" t="inlineStr">
        <is>
          <t>Ушли и прочие</t>
        </is>
      </c>
      <c r="D12" s="19" t="n">
        <v>2021</v>
      </c>
      <c r="E12" s="19" t="n">
        <v>2021</v>
      </c>
      <c r="F12" s="20" t="n">
        <v>128</v>
      </c>
      <c r="G12" s="21" t="n">
        <v>4</v>
      </c>
      <c r="H12" s="22" t="n">
        <v>6.82</v>
      </c>
      <c r="I12" s="23" t="n">
        <v>90</v>
      </c>
      <c r="J12" s="24" t="n">
        <v>6000</v>
      </c>
      <c r="K12" s="25" t="n">
        <v>50</v>
      </c>
      <c r="L12" s="26" t="n"/>
      <c r="M12" s="27" t="n"/>
      <c r="N12" s="28" t="n">
        <v>11000</v>
      </c>
      <c r="O12" s="17" t="inlineStr">
        <is>
          <t>11 000 ₽</t>
        </is>
      </c>
      <c r="P12" s="17" t="inlineStr">
        <is>
          <t>128 ГБ + microSD до 512 ГБ, ОЗУ 4 ГБ</t>
        </is>
      </c>
      <c r="Q12" s="17" t="inlineStr">
        <is>
          <t>Умер от грязного провода</t>
        </is>
      </c>
      <c r="R12" s="16" t="inlineStr">
        <is>
          <t>Polar Black</t>
        </is>
      </c>
      <c r="S12" s="16" t="inlineStr">
        <is>
          <t>WB</t>
        </is>
      </c>
      <c r="T12" s="17" t="inlineStr">
        <is>
          <t>6,82" IPS (720×1640), 90 Гц. 50 МП + 2 МП, фронт. 8 МП. Helio G37. Android 11. Батарея 6 000 мАч. Micro-USB. + смарт-часы (палёные) и наушники.</t>
        </is>
      </c>
      <c r="U12" s="29">
        <f>HYPERLINK("#'Личные дела'!A12","открыть ▸")</f>
        <v/>
      </c>
      <c r="W12" s="0">
        <f>IF(AND($N12&gt;0,NOT(ISNUMBER(SEARCH("Отказ владельца",$Q12)))),$N12,"")</f>
        <v/>
      </c>
      <c r="AG12" s="0">
        <f>IF(ISNUMBER(SEARCH("Отказ владельца",$Q12)),"ОТКАЗ","ОК")</f>
        <v/>
      </c>
    </row>
    <row r="13">
      <c r="A13" s="30" t="inlineStr">
        <is>
          <t>6</t>
        </is>
      </c>
      <c r="B13" s="31" t="inlineStr">
        <is>
          <t>Infinix Hot 20i (X665E)</t>
        </is>
      </c>
      <c r="C13" s="43" t="inlineStr">
        <is>
          <t>Ветераны</t>
        </is>
      </c>
      <c r="D13" s="32" t="n">
        <v>2022</v>
      </c>
      <c r="E13" s="32" t="n">
        <v>2025</v>
      </c>
      <c r="F13" s="33" t="n"/>
      <c r="G13" s="34" t="n"/>
      <c r="H13" s="35" t="n">
        <v>6.6</v>
      </c>
      <c r="I13" s="36" t="n">
        <v>60</v>
      </c>
      <c r="J13" s="37" t="n">
        <v>5000</v>
      </c>
      <c r="K13" s="38" t="n">
        <v>13</v>
      </c>
      <c r="L13" s="39" t="n">
        <v>2</v>
      </c>
      <c r="M13" s="40" t="n">
        <v>10</v>
      </c>
      <c r="N13" s="41" t="n">
        <v>7000</v>
      </c>
      <c r="O13" s="31" t="inlineStr">
        <is>
          <t>7 000 ₽</t>
        </is>
      </c>
      <c r="P13" s="31" t="inlineStr">
        <is>
          <t>Уточняется (варианты 4/64 · 4/128 · 6/128) + microSD до 512 ГБ</t>
        </is>
      </c>
      <c r="Q13" s="31" t="inlineStr">
        <is>
          <t>Ветеран</t>
        </is>
      </c>
      <c r="R13" s="30" t="inlineStr">
        <is>
          <t>Luna Blue</t>
        </is>
      </c>
      <c r="S13" s="30" t="inlineStr">
        <is>
          <t>У товарища</t>
        </is>
      </c>
      <c r="T13" s="31" t="inlineStr">
        <is>
          <t>6,6" IPS (1612×720), 60 Гц, 500 нит. Helio G25 (8×A53, до 2,0 ГГц, 12 нм). 13 МП (f/1.85) + 2 МП + 0,8 МП AI, фронт. 8 МП со вспышкой. Android 12 (XOS 10.6). Батарея 5 000 мАч, 10 Вт. Micro-USB (OTG), без NFC. Числился как Hot 12 Pro — опознан 15.10.2026 через GT 30 Pro (№ 20). Выживший.</t>
        </is>
      </c>
      <c r="U13" s="29">
        <f>HYPERLINK("#'Личные дела'!A13","открыть ▸")</f>
        <v/>
      </c>
      <c r="W13" s="0">
        <f>IF(AND($N13&gt;0,NOT(ISNUMBER(SEARCH("Отказ владельца",$Q13)))),$N13,"")</f>
        <v/>
      </c>
      <c r="AH13" s="0">
        <f>IF(ISNUMBER(SEARCH("Отказ владельца",$Q13)),"ОТКАЗ","ОК")</f>
        <v/>
      </c>
    </row>
    <row r="14">
      <c r="A14" s="16" t="inlineStr">
        <is>
          <t>6b</t>
        </is>
      </c>
      <c r="B14" s="17" t="inlineStr">
        <is>
          <t>Honor X7c</t>
        </is>
      </c>
      <c r="C14" s="42" t="inlineStr">
        <is>
          <t>Ушли и прочие</t>
        </is>
      </c>
      <c r="D14" s="19" t="n">
        <v>2024</v>
      </c>
      <c r="E14" s="19" t="n">
        <v>2024</v>
      </c>
      <c r="F14" s="20" t="n">
        <v>512</v>
      </c>
      <c r="G14" s="21" t="n">
        <v>8</v>
      </c>
      <c r="H14" s="22" t="n">
        <v>6.77</v>
      </c>
      <c r="I14" s="23" t="n">
        <v>120</v>
      </c>
      <c r="J14" s="24" t="n">
        <v>5200</v>
      </c>
      <c r="K14" s="25" t="n">
        <v>108</v>
      </c>
      <c r="L14" s="26" t="n">
        <v>2.8</v>
      </c>
      <c r="M14" s="27" t="n">
        <v>35</v>
      </c>
      <c r="N14" s="28" t="n"/>
      <c r="O14" s="17" t="inlineStr">
        <is>
          <t>покупка (цена не зафиксирована)</t>
        </is>
      </c>
      <c r="P14" s="17" t="inlineStr">
        <is>
          <t>512 ГБ + microSD, ОЗУ 8 ГБ</t>
        </is>
      </c>
      <c r="Q14" s="17" t="inlineStr">
        <is>
          <t>Ушёл по невыгодному обмену</t>
        </is>
      </c>
      <c r="R14" s="16" t="inlineStr">
        <is>
          <t>Forest Green</t>
        </is>
      </c>
      <c r="S14" s="16" t="inlineStr">
        <is>
          <t>Магазин; далее — обмен сослуживцу</t>
        </is>
      </c>
      <c r="T14" s="17" t="inlineStr">
        <is>
          <t>6,77" IPS HD+ (1610×720, 261 ppi, 850 нит), заявленные 120 Гц. 108 МП + 2 МП, фронт. 8 МП. Snapdragon 685 (SM6225, 4×A73 2,8 ГГц + 4×A53 1,9 ГГц, 6 нм), Adreno 610, ~300 000+ AnTuTu v10. Android 14, MagicOS 8. Батарея 5200 мАч, 35 Вт SuperCharge (~1 ч 15 мин до 100%). IP64 + сертифицированная ударопрочность, NFC, стерео, ИК-порт, 3,5 мм, microSD, USB-C 2.0 с OTG. 4G (без 5G), Wi-Fi 5, BT 5.0. Зелёная версия: 8,24 мм, 196 г, «кожаная» спинка. Куплен осознанно, обменян по глупости сослуживцу на аппарат заведомо более слабый: проверить состояние сразу не удалось, обратный обмен был отклонён. Первый Honor в фонде (не считая № 7, карточка которого продавалась под видом Honor 200). Первый честный 512 ГБ в основной линии. Единственная сделка фонда без кнопки «отменить».</t>
        </is>
      </c>
      <c r="U14" s="29">
        <f>HYPERLINK("#'Личные дела'!A14","открыть ▸")</f>
        <v/>
      </c>
      <c r="W14" s="0">
        <f>IF(AND($N14&gt;0,NOT(ISNUMBER(SEARCH("Отказ владельца",$Q14)))),$N14,"")</f>
        <v/>
      </c>
      <c r="AI14" s="0">
        <f>IF(ISNUMBER(SEARCH("Отказ владельца",$Q14)),"ОТКАЗ","ОК")</f>
        <v/>
      </c>
    </row>
    <row r="15">
      <c r="A15" s="30" t="inlineStr">
        <is>
          <t>7</t>
        </is>
      </c>
      <c r="B15" s="31" t="inlineStr">
        <is>
          <t>P901 (OPPO CPH1821EX)</t>
        </is>
      </c>
      <c r="C15" s="42" t="inlineStr">
        <is>
          <t>Ушли и прочие</t>
        </is>
      </c>
      <c r="D15" s="32" t="n">
        <v>2023</v>
      </c>
      <c r="E15" s="32" t="n">
        <v>2023</v>
      </c>
      <c r="F15" s="33" t="n">
        <v>512</v>
      </c>
      <c r="G15" s="34" t="n">
        <v>4</v>
      </c>
      <c r="H15" s="35" t="n">
        <v>6.2</v>
      </c>
      <c r="I15" s="36" t="n"/>
      <c r="J15" s="37" t="n">
        <v>6000</v>
      </c>
      <c r="K15" s="38" t="n"/>
      <c r="L15" s="39" t="n">
        <v>2</v>
      </c>
      <c r="M15" s="40" t="n"/>
      <c r="N15" s="41" t="n">
        <v>6818</v>
      </c>
      <c r="O15" s="31" t="inlineStr">
        <is>
          <t>6 818 ₽</t>
        </is>
      </c>
      <c r="P15" s="31" t="inlineStr">
        <is>
          <t>512 ГБ (498 ГБ свободно, настоящие), ОЗУ 4 ГБ LPDDR4X (в прошивке — 12 ГБ, завышено)</t>
        </is>
      </c>
      <c r="Q15" s="31" t="inlineStr">
        <is>
          <t>Изгнан</t>
        </is>
      </c>
      <c r="R15" s="30" t="inlineStr">
        <is>
          <t>White</t>
        </is>
      </c>
      <c r="S15" s="30" t="inlineStr">
        <is>
          <t>Ozon</t>
        </is>
      </c>
      <c r="T15" s="31" t="inlineStr">
        <is>
          <t>Контрафакт на базе OPPO F7 (CPH1821EX). Реальное железо: MediaTek Helio P60 (MT6771, 4×A73 + 4×A53, 2,0 ГГц, 12 нм), GPU Mali-G72 MP3, 4 ГБ LPDDR4X, 6,2" IPS 2280×1080. Прошивка-обманка: Android 10 + ColorOS V7.1 поверх Android 8.1, ОЗУ завышено до 12 ГБ. Накопитель 512 ГБ — настоящий. Батарея 6 000 мАч (оригинал Oppo F7 — 3 400 мАч, заменена). SIM-карта отсутствует. Нет GMS-сертификации — банки и Госуслуги не работают. Приложения вылетают. Осознанное изгнание, но жив. Настоящее имя раскрыто через ВК: OPPO CPH1821EX.</t>
        </is>
      </c>
      <c r="U15" s="29">
        <f>HYPERLINK("#'Личные дела'!A15","открыть ▸")</f>
        <v/>
      </c>
      <c r="W15" s="0">
        <f>IF(AND($N15&gt;0,NOT(ISNUMBER(SEARCH("Отказ владельца",$Q15)))),$N15,"")</f>
        <v/>
      </c>
      <c r="AJ15" s="0">
        <f>IF(ISNUMBER(SEARCH("Отказ владельца",$Q15)),"ОТКАЗ","ОК")</f>
        <v/>
      </c>
    </row>
    <row r="16">
      <c r="A16" s="16" t="inlineStr">
        <is>
          <t>8</t>
        </is>
      </c>
      <c r="B16" s="17" t="inlineStr">
        <is>
          <t>Infinix Hot 30 Play</t>
        </is>
      </c>
      <c r="C16" s="43" t="inlineStr">
        <is>
          <t>Ветераны</t>
        </is>
      </c>
      <c r="D16" s="19" t="n">
        <v>2023</v>
      </c>
      <c r="E16" s="19" t="n">
        <v>2023</v>
      </c>
      <c r="F16" s="20" t="n">
        <v>128</v>
      </c>
      <c r="G16" s="21" t="n">
        <v>8</v>
      </c>
      <c r="H16" s="22" t="n">
        <v>6.82</v>
      </c>
      <c r="I16" s="23" t="n">
        <v>90</v>
      </c>
      <c r="J16" s="24" t="n">
        <v>6000</v>
      </c>
      <c r="K16" s="25" t="n">
        <v>16</v>
      </c>
      <c r="L16" s="26" t="n"/>
      <c r="M16" s="27" t="n">
        <v>18</v>
      </c>
      <c r="N16" s="28" t="n">
        <v>12000</v>
      </c>
      <c r="O16" s="17" t="inlineStr">
        <is>
          <t>11–12 тыс ₽</t>
        </is>
      </c>
      <c r="P16" s="17" t="inlineStr">
        <is>
          <t>128 ГБ + microSD до 1 ТБ, ОЗУ 8 ГБ</t>
        </is>
      </c>
      <c r="Q16" s="17" t="inlineStr">
        <is>
          <t>Ветеран 2023 — 10.10.2026, ушёл на заслуженный отдых</t>
        </is>
      </c>
      <c r="R16" s="16" t="inlineStr">
        <is>
          <t>Black</t>
        </is>
      </c>
      <c r="S16" s="16" t="inlineStr">
        <is>
          <t>WB</t>
        </is>
      </c>
      <c r="T16" s="17" t="inlineStr">
        <is>
          <t>6,82" IPS (1640×720), 90 Гц. 16 МП + QVGA, фронт. 8 МП. Helio G37. Android 13. Батарея 6 000 мАч, 18 Вт. USB-C, NFC. «Будущий жёлтый самсунг»: к 2031 ≈ Mini 2.</t>
        </is>
      </c>
      <c r="U16" s="29">
        <f>HYPERLINK("#'Личные дела'!A16","открыть ▸")</f>
        <v/>
      </c>
      <c r="W16" s="0">
        <f>IF(AND($N16&gt;0,NOT(ISNUMBER(SEARCH("Отказ владельца",$Q16)))),$N16,"")</f>
        <v/>
      </c>
      <c r="AK16" s="0">
        <f>IF(ISNUMBER(SEARCH("Отказ владельца",$Q16)),"ОТКАЗ","ОК")</f>
        <v/>
      </c>
    </row>
    <row r="17">
      <c r="A17" s="30" t="inlineStr">
        <is>
          <t>9</t>
        </is>
      </c>
      <c r="B17" s="31" t="inlineStr">
        <is>
          <t>Samsung S25+</t>
        </is>
      </c>
      <c r="C17" s="42" t="inlineStr">
        <is>
          <t>Ушли и прочие</t>
        </is>
      </c>
      <c r="D17" s="32" t="n">
        <v>2026</v>
      </c>
      <c r="E17" s="32" t="n">
        <v>2026</v>
      </c>
      <c r="F17" s="33" t="n">
        <v>512</v>
      </c>
      <c r="G17" s="34" t="n">
        <v>12</v>
      </c>
      <c r="H17" s="35" t="n">
        <v>6.7</v>
      </c>
      <c r="I17" s="36" t="n">
        <v>120</v>
      </c>
      <c r="J17" s="37" t="n">
        <v>4900</v>
      </c>
      <c r="K17" s="38" t="n">
        <v>50</v>
      </c>
      <c r="L17" s="39" t="n"/>
      <c r="M17" s="40" t="n">
        <v>25</v>
      </c>
      <c r="N17" s="41" t="n">
        <v>90000</v>
      </c>
      <c r="O17" s="31" t="inlineStr">
        <is>
          <t>90 000 ₽</t>
        </is>
      </c>
      <c r="P17" s="31" t="inlineStr">
        <is>
          <t>512 ГБ, ОЗУ 12 ГБ</t>
        </is>
      </c>
      <c r="Q17" s="31" t="inlineStr">
        <is>
          <t>Продан ради съёмного дома</t>
        </is>
      </c>
      <c r="R17" s="30" t="inlineStr">
        <is>
          <t>Silver Shadow</t>
        </is>
      </c>
      <c r="S17" s="30" t="inlineStr">
        <is>
          <t>DNS</t>
        </is>
      </c>
      <c r="T17" s="31" t="inlineStr">
        <is>
          <t>6,7" Dynamic AMOLED 2X (QHD+, 1–120 Гц), 2600 нит. 50 МП (OIS) + 12 МП + 10 МП (3×), фронт. 12 МП. Snapdragon 8 Elite for Galaxy. Android 15 + One UI 7. Батарея 4 900 мАч, 25 Вт. IP68, Gorilla Glass Victus 2. Ни копейки не ушло на дело. Параллельная ветка.</t>
        </is>
      </c>
      <c r="U17" s="29">
        <f>HYPERLINK("#'Личные дела'!A17","открыть ▸")</f>
        <v/>
      </c>
      <c r="W17" s="0">
        <f>IF(AND($N17&gt;0,NOT(ISNUMBER(SEARCH("Отказ владельца",$Q17)))),$N17,"")</f>
        <v/>
      </c>
      <c r="AL17" s="0">
        <f>IF(ISNUMBER(SEARCH("Отказ владельца",$Q17)),"ОТКАЗ","ОК")</f>
        <v/>
      </c>
    </row>
    <row r="18">
      <c r="A18" s="16" t="inlineStr">
        <is>
          <t>10</t>
        </is>
      </c>
      <c r="B18" s="17" t="inlineStr">
        <is>
          <t>iPhone 17 Pro Max</t>
        </is>
      </c>
      <c r="C18" s="42" t="inlineStr">
        <is>
          <t>Ушли и прочие</t>
        </is>
      </c>
      <c r="D18" s="19" t="n">
        <v>2026</v>
      </c>
      <c r="E18" s="19" t="n">
        <v>2026</v>
      </c>
      <c r="F18" s="20" t="n">
        <v>256</v>
      </c>
      <c r="G18" s="21" t="n">
        <v>12</v>
      </c>
      <c r="H18" s="22" t="n"/>
      <c r="I18" s="23" t="n"/>
      <c r="J18" s="24" t="n"/>
      <c r="K18" s="25" t="n"/>
      <c r="L18" s="26" t="n"/>
      <c r="M18" s="27" t="n"/>
      <c r="N18" s="28" t="n">
        <v>138020</v>
      </c>
      <c r="O18" s="17" t="inlineStr">
        <is>
          <t>138 020 ₽</t>
        </is>
      </c>
      <c r="P18" s="17" t="inlineStr">
        <is>
          <t>256 ГБ, ОЗУ 12 ГБ</t>
        </is>
      </c>
      <c r="Q18" s="17" t="inlineStr">
        <is>
          <t>Продан ради съёмного дома</t>
        </is>
      </c>
      <c r="R18" s="16" t="inlineStr">
        <is>
          <t>Cosmic Orange</t>
        </is>
      </c>
      <c r="S18" s="16" t="inlineStr">
        <is>
          <t>WB</t>
        </is>
      </c>
      <c r="T18" s="17" t="inlineStr">
        <is>
          <t>iOS 26, nano-SIM + eSIM. IP68, гарантия 12 мес. Без предустановленного российского ПО. Ни копейки не ушло на дело. Параллельная ветка.</t>
        </is>
      </c>
      <c r="U18" s="29">
        <f>HYPERLINK("#'Личные дела'!A18","открыть ▸")</f>
        <v/>
      </c>
      <c r="W18" s="0">
        <f>IF(AND($N18&gt;0,NOT(ISNUMBER(SEARCH("Отказ владельца",$Q18)))),$N18,"")</f>
        <v/>
      </c>
      <c r="AM18" s="0">
        <f>IF(ISNUMBER(SEARCH("Отказ владельца",$Q18)),"ОТКАЗ","ОК")</f>
        <v/>
      </c>
    </row>
    <row r="19">
      <c r="A19" s="30" t="inlineStr">
        <is>
          <t>11</t>
        </is>
      </c>
      <c r="B19" s="31" t="inlineStr">
        <is>
          <t>Soyes F8 Pro Max</t>
        </is>
      </c>
      <c r="C19" s="42" t="inlineStr">
        <is>
          <t>Ушли и прочие</t>
        </is>
      </c>
      <c r="D19" s="32" t="n">
        <v>2026</v>
      </c>
      <c r="E19" s="32" t="n">
        <v>2026</v>
      </c>
      <c r="F19" s="33" t="n">
        <v>16</v>
      </c>
      <c r="G19" s="34" t="n">
        <v>1</v>
      </c>
      <c r="H19" s="35" t="n">
        <v>3</v>
      </c>
      <c r="I19" s="36" t="n"/>
      <c r="J19" s="37" t="n">
        <v>2000</v>
      </c>
      <c r="K19" s="38" t="n">
        <v>2</v>
      </c>
      <c r="L19" s="39" t="n">
        <v>1.3</v>
      </c>
      <c r="M19" s="40" t="n"/>
      <c r="N19" s="41" t="n">
        <v>2500</v>
      </c>
      <c r="O19" s="31" t="inlineStr">
        <is>
          <t>2 500 ₽</t>
        </is>
      </c>
      <c r="P19" s="31" t="inlineStr">
        <is>
          <t>16 ГБ + microSD до 64 ГБ, ОЗУ 1 ГБ</t>
        </is>
      </c>
      <c r="Q19" s="31" t="inlineStr">
        <is>
          <t>Бартер за наушники</t>
        </is>
      </c>
      <c r="R19" s="30" t="inlineStr">
        <is>
          <t>Black</t>
        </is>
      </c>
      <c r="S19" s="30" t="inlineStr">
        <is>
          <t>WB</t>
        </is>
      </c>
      <c r="T19" s="31" t="inlineStr">
        <is>
          <t>3,0" IPS (480×854). 2 МП + 0,3 МП камеры. MTK6580M 1,3 ГГц. Android 8.1. Батарея 2 000 мАч. Размеры: 89,65×45,8×12 мм. Обмен.</t>
        </is>
      </c>
      <c r="U19" s="29">
        <f>HYPERLINK("#'Личные дела'!A19","открыть ▸")</f>
        <v/>
      </c>
      <c r="W19" s="0">
        <f>IF(AND($N19&gt;0,NOT(ISNUMBER(SEARCH("Отказ владельца",$Q19)))),$N19,"")</f>
        <v/>
      </c>
      <c r="AN19" s="0">
        <f>IF(ISNUMBER(SEARCH("Отказ владельца",$Q19)),"ОТКАЗ","ОК")</f>
        <v/>
      </c>
    </row>
    <row r="20">
      <c r="A20" s="16" t="inlineStr">
        <is>
          <t>12</t>
        </is>
      </c>
      <c r="B20" s="17" t="inlineStr">
        <is>
          <t>Nokia 6300 (Silver)</t>
        </is>
      </c>
      <c r="C20" s="44" t="inlineStr">
        <is>
          <t>На службе</t>
        </is>
      </c>
      <c r="D20" s="19" t="n">
        <v>2026</v>
      </c>
      <c r="E20" s="19" t="n">
        <v>2026</v>
      </c>
      <c r="F20" s="20" t="n"/>
      <c r="G20" s="21" t="n"/>
      <c r="H20" s="22" t="n">
        <v>2</v>
      </c>
      <c r="I20" s="23" t="n"/>
      <c r="J20" s="24" t="n"/>
      <c r="K20" s="25" t="n">
        <v>2</v>
      </c>
      <c r="L20" s="26" t="n"/>
      <c r="M20" s="27" t="n"/>
      <c r="N20" s="28" t="n">
        <v>2000</v>
      </c>
      <c r="O20" s="17" t="inlineStr">
        <is>
          <t>2 000 ₽</t>
        </is>
      </c>
      <c r="P20" s="17" t="inlineStr">
        <is>
          <t>microSD до 2 ГБ</t>
        </is>
      </c>
      <c r="Q20" s="17" t="inlineStr">
        <is>
          <t>Кнопочный резерв</t>
        </is>
      </c>
      <c r="R20" s="16" t="inlineStr">
        <is>
          <t>Silver</t>
        </is>
      </c>
      <c r="S20" s="16" t="inlineStr">
        <is>
          <t>WB</t>
        </is>
      </c>
      <c r="T20" s="17" t="inlineStr">
        <is>
          <t>2" TFT (240×320), 2 МП камера. 1 SIM (micro-SIM). 2G/3G (Tele2 не работает). Гарантия 1 неделя. Реплика, не оригинал HMD. Круг замкнулся.</t>
        </is>
      </c>
      <c r="U20" s="29">
        <f>HYPERLINK("#'Личные дела'!A20","открыть ▸")</f>
        <v/>
      </c>
      <c r="W20" s="0">
        <f>IF(AND($N20&gt;0,NOT(ISNUMBER(SEARCH("Отказ владельца",$Q20)))),$N20,"")</f>
        <v/>
      </c>
      <c r="AO20" s="0">
        <f>IF(ISNUMBER(SEARCH("Отказ владельца",$Q20)),"ОТКАЗ","ОК")</f>
        <v/>
      </c>
    </row>
    <row r="21">
      <c r="A21" s="30" t="inlineStr">
        <is>
          <t>13</t>
        </is>
      </c>
      <c r="B21" s="31" t="inlineStr">
        <is>
          <t>Realme C75</t>
        </is>
      </c>
      <c r="C21" s="42" t="inlineStr">
        <is>
          <t>Ушли и прочие</t>
        </is>
      </c>
      <c r="D21" s="32" t="n">
        <v>2026</v>
      </c>
      <c r="E21" s="32" t="n">
        <v>2026</v>
      </c>
      <c r="F21" s="33" t="n">
        <v>256</v>
      </c>
      <c r="G21" s="34" t="n">
        <v>8</v>
      </c>
      <c r="H21" s="35" t="n">
        <v>6.72</v>
      </c>
      <c r="I21" s="36" t="n">
        <v>90</v>
      </c>
      <c r="J21" s="37" t="n">
        <v>6000</v>
      </c>
      <c r="K21" s="38" t="n">
        <v>50</v>
      </c>
      <c r="L21" s="39" t="n"/>
      <c r="M21" s="40" t="n">
        <v>45</v>
      </c>
      <c r="N21" s="41" t="n">
        <v>0</v>
      </c>
      <c r="O21" s="31" t="inlineStr">
        <is>
          <t>найден бесплатно</t>
        </is>
      </c>
      <c r="P21" s="31" t="inlineStr">
        <is>
          <t>128/256 ГБ + microSD до 2 ТБ, ОЗУ 8 ГБ</t>
        </is>
      </c>
      <c r="Q21" s="31" t="inlineStr">
        <is>
          <t>Найден убитым</t>
        </is>
      </c>
      <c r="R21" s="30" t="inlineStr">
        <is>
          <t>Storm Black</t>
        </is>
      </c>
      <c r="S21" s="30" t="inlineStr">
        <is>
          <t>—</t>
        </is>
      </c>
      <c r="T21" s="31" t="inlineStr">
        <is>
          <t>6,72" IPS (2400×1080), 90 Гц, стекло ArmorShell. 50 МП, фронт. 8 МП. Helio G92 Max. Android 14, realme UI 5.0. Батарея 6 000 мАч, 45 Вт. IP69. Экран отслаивается, разъёмы SIM повреждены. Заряд идёт. Найден до заказа Poco и BQ.</t>
        </is>
      </c>
      <c r="U21" s="29">
        <f>HYPERLINK("#'Личные дела'!A21","открыть ▸")</f>
        <v/>
      </c>
      <c r="W21" s="0">
        <f>IF(AND($N21&gt;0,NOT(ISNUMBER(SEARCH("Отказ владельца",$Q21)))),$N21,"")</f>
        <v/>
      </c>
      <c r="AP21" s="0">
        <f>IF(ISNUMBER(SEARCH("Отказ владельца",$Q21)),"ОТКАЗ","ОК")</f>
        <v/>
      </c>
    </row>
    <row r="22">
      <c r="A22" s="16" t="inlineStr">
        <is>
          <t>14</t>
        </is>
      </c>
      <c r="B22" s="17" t="inlineStr">
        <is>
          <t>POCO F9 Ultra</t>
        </is>
      </c>
      <c r="C22" s="44" t="inlineStr">
        <is>
          <t>На службе</t>
        </is>
      </c>
      <c r="D22" s="19" t="n">
        <v>2026</v>
      </c>
      <c r="E22" s="19" t="n">
        <v>2026</v>
      </c>
      <c r="F22" s="20" t="n">
        <v>512</v>
      </c>
      <c r="G22" s="21" t="n"/>
      <c r="H22" s="22" t="n">
        <v>6.9</v>
      </c>
      <c r="I22" s="23" t="n">
        <v>185</v>
      </c>
      <c r="J22" s="24" t="n">
        <v>8050</v>
      </c>
      <c r="K22" s="25" t="n">
        <v>200</v>
      </c>
      <c r="L22" s="26" t="n"/>
      <c r="M22" s="27" t="n">
        <v>100</v>
      </c>
      <c r="N22" s="28" t="n">
        <v>97771</v>
      </c>
      <c r="O22" s="17" t="inlineStr">
        <is>
          <t>97 771 ₽</t>
        </is>
      </c>
      <c r="P22" s="17" t="inlineStr">
        <is>
          <t>512 ГБ, UFS 4.1, ОЗУ 12/16 ГБ LPDDR5X</t>
        </is>
      </c>
      <c r="Q22" s="17" t="inlineStr">
        <is>
          <t>Король — Основной</t>
        </is>
      </c>
      <c r="R22" s="16" t="inlineStr">
        <is>
          <t>Black</t>
        </is>
      </c>
      <c r="S22" s="16" t="inlineStr">
        <is>
          <t>WB</t>
        </is>
      </c>
      <c r="T22" s="17" t="inlineStr">
        <is>
          <t>6,9" AMOLED (2608×1200), 185 Гц, до 10 000 нит. 200 МП (OIS) + 50 МП перископ (5×) + 50 МП ширик, фронт. 32 МП. Snapdragon 8 Elite Gen 5. Android 16, HyperOS 3. Батарея 8 050 мАч, 100 Вт проводная, 50 Вт беспроводная. 5G, Wi-Fi 7, Bluetooth 6.0. IP68. Стерео Bose + сабвуфер, Dolby Atmos. Финальный босс.</t>
        </is>
      </c>
      <c r="U22" s="29">
        <f>HYPERLINK("#'Личные дела'!A22","открыть ▸")</f>
        <v/>
      </c>
      <c r="W22" s="0">
        <f>IF(AND($N22&gt;0,NOT(ISNUMBER(SEARCH("Отказ владельца",$Q22)))),$N22,"")</f>
        <v/>
      </c>
      <c r="AQ22" s="0">
        <f>IF(ISNUMBER(SEARCH("Отказ владельца",$Q22)),"ОТКАЗ","ОК")</f>
        <v/>
      </c>
    </row>
    <row r="23">
      <c r="A23" s="30" t="inlineStr">
        <is>
          <t>14.1</t>
        </is>
      </c>
      <c r="B23" s="129" t="inlineStr">
        <is>
          <t>HOCO X50</t>
        </is>
      </c>
      <c r="C23" s="45" t="inlineStr">
        <is>
          <t>Ушли и прочие</t>
        </is>
      </c>
      <c r="D23" s="32" t="n">
        <v>2026</v>
      </c>
      <c r="E23" s="32" t="n">
        <v>2026</v>
      </c>
      <c r="F23" s="33" t="n"/>
      <c r="G23" s="34" t="n"/>
      <c r="H23" s="35" t="n"/>
      <c r="I23" s="36" t="n"/>
      <c r="J23" s="37" t="n"/>
      <c r="K23" s="38" t="n"/>
      <c r="L23" s="39" t="n"/>
      <c r="M23" s="40" t="n">
        <v>100</v>
      </c>
      <c r="N23" s="41" t="n">
        <v>382</v>
      </c>
      <c r="O23" s="31" t="inlineStr">
        <is>
          <t>382 ₽</t>
        </is>
      </c>
      <c r="P23" s="31" t="inlineStr">
        <is>
          <t>— (память не хранит)</t>
        </is>
      </c>
      <c r="Q23" s="129" t="inlineStr">
        <is>
          <t>Отменён — отказ владельца</t>
        </is>
      </c>
      <c r="R23" s="30" t="inlineStr">
        <is>
          <t>Black</t>
        </is>
      </c>
      <c r="S23" s="30" t="inlineStr">
        <is>
          <t>WB (каталог 237491773)</t>
        </is>
      </c>
      <c r="T23" s="31" t="inlineStr">
        <is>
          <t>Кабель Type-C → Type-C, 1 м, ток 5 А / до 100 Вт, чип E-marker — открывает полную проводную зарядку F9 Ultra (100 Вт, 20 В / 5 А). Первая подтехника Короля: 1) раскрыть 100-ваттную зарядку; 2) «фургон для переезда» — перенос ~100 ГБ с Hot 30 Play (№ 8) по кабелю USB-C → USB-C. 03.10.2026: фургон приступил к работе — Король получен, переезд начался. Первый фирменный кабель фонда после урока BQ Strike (№ 4). Выбрана 5-амперная версия за 382 ₽ вместо 3-амперной за 306 ₽. · 16.10.2026: статус исправлен — отказ владельца · 17.10.2026: ОТМЕНЁН владельцем — кабель дублирует комплектный Type-C→Type-C 100 Вт POCO F9 Ultra; зарядка и перенос данных закрыты комплектом</t>
        </is>
      </c>
      <c r="U23" s="29">
        <f>HYPERLINK("#'Личные дела'!A23","открыть ▸")</f>
        <v/>
      </c>
      <c r="V23" s="131" t="inlineStr">
        <is>
          <t>ОТМЕНЁН</t>
        </is>
      </c>
      <c r="W23" s="0">
        <f>IF(AND($N23&gt;0,NOT(ISNUMBER(SEARCH("Отказ владельца",$Q23)))),$N23,"")</f>
        <v/>
      </c>
      <c r="AR23" s="0">
        <f>IF(ISNUMBER(SEARCH("Отказ владельца",$Q23)),"ОТКАЗ","ОК")</f>
        <v/>
      </c>
    </row>
    <row r="24">
      <c r="A24" s="16" t="inlineStr">
        <is>
          <t>14.2</t>
        </is>
      </c>
      <c r="B24" s="130" t="inlineStr">
        <is>
          <t>Xiaomi 120W HyperCharge (сетевое ЗУ)</t>
        </is>
      </c>
      <c r="C24" s="45" t="inlineStr">
        <is>
          <t>Ушли и прочие</t>
        </is>
      </c>
      <c r="D24" s="19" t="n">
        <v>2026</v>
      </c>
      <c r="E24" s="19" t="n">
        <v>2026</v>
      </c>
      <c r="F24" s="20" t="n"/>
      <c r="G24" s="21" t="n"/>
      <c r="H24" s="22" t="n"/>
      <c r="I24" s="23" t="n"/>
      <c r="J24" s="24" t="n"/>
      <c r="K24" s="25" t="n"/>
      <c r="L24" s="26" t="n"/>
      <c r="M24" s="27" t="n">
        <v>120</v>
      </c>
      <c r="N24" s="28" t="n">
        <v>4575</v>
      </c>
      <c r="O24" s="17" t="inlineStr">
        <is>
          <t>4 575 ₽</t>
        </is>
      </c>
      <c r="P24" s="17" t="inlineStr">
        <is>
          <t>— (память не хранит)</t>
        </is>
      </c>
      <c r="Q24" s="130" t="inlineStr">
        <is>
          <t>Отменён — отказ владельца</t>
        </is>
      </c>
      <c r="R24" s="16" t="inlineStr">
        <is>
          <t>—</t>
        </is>
      </c>
      <c r="S24" s="16" t="inlineStr">
        <is>
          <t>WB (каталог 822768509)</t>
        </is>
      </c>
      <c r="T24" s="17" t="inlineStr">
        <is>
          <t>Фирменный сетевой адаптер Xiaomi 120W HyperCharge, глобальная версия, порт Type-C. Сердце системы питания Короля: паспортные 120 Вт, F9 Ultra возьмёт свои 100 Вт — 0→100% примерно за полчаса. Вместе с кабелем HOCO X50 (№ 14.1) образует полный комплект быстрой зарядки: блок + провод. Вторая подтехника Короля. · 16.10.2026: статус исправлен — отказ владельца · 17.10.2026: ОТМЕНЁН владельцем — блок HyperCharge уже в комплекте POCO F9 Ultra; питание закрыто повербанком 212 Вт (№ 14.3)</t>
        </is>
      </c>
      <c r="U24" s="29">
        <f>HYPERLINK("#'Личные дела'!A24","открыть ▸")</f>
        <v/>
      </c>
      <c r="V24" s="131" t="inlineStr">
        <is>
          <t>ОТМЕНЁН</t>
        </is>
      </c>
      <c r="W24" s="0">
        <f>IF(AND($N24&gt;0,NOT(ISNUMBER(SEARCH("Отказ владельца",$Q24)))),$N24,"")</f>
        <v/>
      </c>
      <c r="AS24" s="0">
        <f>IF(ISNUMBER(SEARCH("Отказ владельца",$Q24)),"ОТКАЗ","ОК")</f>
        <v/>
      </c>
    </row>
    <row r="25">
      <c r="A25" s="30" t="inlineStr">
        <is>
          <t>14A</t>
        </is>
      </c>
      <c r="B25" s="31" t="inlineStr">
        <is>
          <t>OnePlus 15 (CPH2749)</t>
        </is>
      </c>
      <c r="C25" s="46" t="inlineStr">
        <is>
          <t>Альтернативная ветка</t>
        </is>
      </c>
      <c r="D25" s="32" t="n">
        <v>2026</v>
      </c>
      <c r="E25" s="32" t="n">
        <v>2026</v>
      </c>
      <c r="F25" s="33" t="n">
        <v>256</v>
      </c>
      <c r="G25" s="34" t="n">
        <v>12</v>
      </c>
      <c r="H25" s="35" t="n"/>
      <c r="I25" s="36" t="n"/>
      <c r="J25" s="37" t="n">
        <v>7300</v>
      </c>
      <c r="K25" s="38" t="n"/>
      <c r="L25" s="39" t="n"/>
      <c r="M25" s="40" t="n">
        <v>120</v>
      </c>
      <c r="N25" s="41" t="n">
        <v>94761</v>
      </c>
      <c r="O25" s="31" t="inlineStr">
        <is>
          <t>94 761 ₽</t>
        </is>
      </c>
      <c r="P25" s="31" t="inlineStr">
        <is>
          <t>256 ГБ, ОЗУ 12 ГБ</t>
        </is>
      </c>
      <c r="Q25" s="31" t="inlineStr">
        <is>
          <t>Альтернативная ветка</t>
        </is>
      </c>
      <c r="R25" s="30" t="inlineStr">
        <is>
          <t>Black</t>
        </is>
      </c>
      <c r="S25" s="30" t="inlineStr">
        <is>
          <t>WB (каталог 992924240)</t>
        </is>
      </c>
      <c r="T25" s="31" t="inlineStr">
        <is>
          <t>«Брат-близнец» Короля по производительности: тот же Snapdragon 8 Elite Gen 5, 12 ГБ ОЗУ. Отличия: 256 ГБ вместо 512 ГБ, OxygenOS 16 вместо HyperOS 3, 7 300 мАч / 120 Вт вместо 8 050 мАч / 100 Вт, eSIM (US-версия). Не заказан — Король (№ 14) уже оплачен и в пути. Резервная ветка: вступила бы в силу только в случае ухода F9 Ultra в мир павших смартфонов.</t>
        </is>
      </c>
      <c r="U25" s="29">
        <f>HYPERLINK("#'Личные дела'!A25","открыть ▸")</f>
        <v/>
      </c>
      <c r="W25" s="0">
        <f>IF(AND($N25&gt;0,NOT(ISNUMBER(SEARCH("Отказ владельца",$Q25)))),$N25,"")</f>
        <v/>
      </c>
      <c r="AT25" s="0">
        <f>IF(ISNUMBER(SEARCH("Отказ владельца",$Q25)),"ОТКАЗ","ОК")</f>
        <v/>
      </c>
    </row>
    <row r="26">
      <c r="A26" s="16" t="inlineStr">
        <is>
          <t>15</t>
        </is>
      </c>
      <c r="B26" s="17" t="inlineStr">
        <is>
          <t>BQ 2430L Tank Connect</t>
        </is>
      </c>
      <c r="C26" s="47" t="inlineStr">
        <is>
          <t>Ушли и прочие</t>
        </is>
      </c>
      <c r="D26" s="19" t="n">
        <v>2026</v>
      </c>
      <c r="E26" s="19" t="n">
        <v>2026</v>
      </c>
      <c r="F26" s="20" t="n">
        <v>0.032</v>
      </c>
      <c r="G26" s="21" t="n"/>
      <c r="H26" s="22" t="n">
        <v>2.4</v>
      </c>
      <c r="I26" s="23" t="n"/>
      <c r="J26" s="24" t="n">
        <v>4000</v>
      </c>
      <c r="K26" s="25" t="n"/>
      <c r="L26" s="26" t="n"/>
      <c r="M26" s="27" t="n"/>
      <c r="N26" s="28" t="n">
        <v>5105</v>
      </c>
      <c r="O26" s="17" t="inlineStr">
        <is>
          <t>5 105 ₽</t>
        </is>
      </c>
      <c r="P26" s="17" t="inlineStr">
        <is>
          <t>32 МБ + microSD</t>
        </is>
      </c>
      <c r="Q26" s="17" t="inlineStr">
        <is>
          <t>Отказ владельца — отменён в пользу Pad 7</t>
        </is>
      </c>
      <c r="R26" s="16" t="inlineStr">
        <is>
          <t>Black+Gunmetal</t>
        </is>
      </c>
      <c r="S26" s="16" t="inlineStr">
        <is>
          <t>WB</t>
        </is>
      </c>
      <c r="T26" s="17" t="inlineStr">
        <is>
          <t>2,4" (240×320), 2 nano-SIM, 4G, USB-C. Режим Wi-Fi роутера, 2 фонарика. Батарея ~4 000 мАч. Комплектация: телефон, ЗУ, руководство. Гарантия 1 год. 4G-роутер + пауэрбанк. 27.09.2026: BQ ОТМЕНЁН в пользу Xiaomi Pad 7 (дело № 17). · 16.10.2026: статус исправлен — отказ владельца</t>
        </is>
      </c>
      <c r="U26" s="29">
        <f>HYPERLINK("#'Личные дела'!A26","открыть ▸")</f>
        <v/>
      </c>
      <c r="V26" s="131" t="inlineStr">
        <is>
          <t>ОТМЕНЁН</t>
        </is>
      </c>
      <c r="W26" s="0">
        <f>IF(AND($N26&gt;0,NOT(ISNUMBER(SEARCH("Отказ владельца",$Q26)))),$N26,"")</f>
        <v/>
      </c>
      <c r="AU26" s="0">
        <f>IF(ISNUMBER(SEARCH("Отказ владельца",$Q26)),"ОТКАЗ","ОК")</f>
        <v/>
      </c>
    </row>
    <row r="27">
      <c r="A27" s="30" t="inlineStr">
        <is>
          <t>16</t>
        </is>
      </c>
      <c r="B27" s="31" t="inlineStr">
        <is>
          <t>POCO Pad M1</t>
        </is>
      </c>
      <c r="C27" s="47" t="inlineStr">
        <is>
          <t>Ушли и прочие</t>
        </is>
      </c>
      <c r="D27" s="32" t="n">
        <v>2026</v>
      </c>
      <c r="E27" s="32" t="n">
        <v>2026</v>
      </c>
      <c r="F27" s="33" t="n">
        <v>256</v>
      </c>
      <c r="G27" s="34" t="n">
        <v>8</v>
      </c>
      <c r="H27" s="35" t="n">
        <v>12.1</v>
      </c>
      <c r="I27" s="36" t="n">
        <v>120</v>
      </c>
      <c r="J27" s="37" t="n">
        <v>12000</v>
      </c>
      <c r="K27" s="38" t="n"/>
      <c r="L27" s="39" t="n"/>
      <c r="M27" s="40" t="n">
        <v>33</v>
      </c>
      <c r="N27" s="41" t="n">
        <v>34614</v>
      </c>
      <c r="O27" s="31" t="inlineStr">
        <is>
          <t>34 614 ₽</t>
        </is>
      </c>
      <c r="P27" s="31" t="inlineStr">
        <is>
          <t>256 ГБ UFS 2.2 + microSD до 2 ТБ, ОЗУ 8 ГБ LPDDR4X</t>
        </is>
      </c>
      <c r="Q27" s="31" t="inlineStr">
        <is>
          <t>Отказ владельца — отменён до получения</t>
        </is>
      </c>
      <c r="R27" s="30" t="inlineStr">
        <is>
          <t>Grey</t>
        </is>
      </c>
      <c r="S27" s="30" t="inlineStr">
        <is>
          <t>WB</t>
        </is>
      </c>
      <c r="T27" s="31" t="inlineStr">
        <is>
          <t>12,1" IPS 2.5K (2560×1600), 120 Гц, 600 нит. Snapdragon 7s Gen 4 (4 нм), Adreno 810. Android 15, HyperOS 2. Батарея 12 000 мАч, 33 Вт. Wi-Fi 6, BT 5.4. 4 динамика, Dolby Atmos, 3,5 мм. Алюминий, 610 г. Без SIM, без NFC. Big Poco Brother — стационарная база. 27.09.2026: НАШЁЛ ПЛАНШЕТ ЛУЧШЕ — Xiaomi Pad 7 (дело № 17); заказ отменён до получения, средства возвращаются на WB Кошелёк. 28.09.2026: возврат 34 614 ₽ получен на карту ВТБ. Дело закрыто окончательно. · 16.10.2026: статус исправлен — отказ владельца</t>
        </is>
      </c>
      <c r="U27" s="29">
        <f>HYPERLINK("#'Личные дела'!A27","открыть ▸")</f>
        <v/>
      </c>
      <c r="V27" s="131" t="inlineStr">
        <is>
          <t>ОТМЕНЁН</t>
        </is>
      </c>
      <c r="W27" s="0">
        <f>IF(AND($N27&gt;0,NOT(ISNUMBER(SEARCH("Отказ владельца",$Q27)))),$N27,"")</f>
        <v/>
      </c>
      <c r="AV27" s="0">
        <f>IF(ISNUMBER(SEARCH("Отказ владельца",$Q27)),"ОТКАЗ","ОК")</f>
        <v/>
      </c>
    </row>
    <row r="28">
      <c r="A28" s="16" t="inlineStr">
        <is>
          <t>16.1</t>
        </is>
      </c>
      <c r="B28" s="17" t="inlineStr">
        <is>
          <t>GEMBIRD KBW-8460</t>
        </is>
      </c>
      <c r="C28" s="45" t="inlineStr">
        <is>
          <t>Ушли и прочие</t>
        </is>
      </c>
      <c r="D28" s="19" t="n">
        <v>2026</v>
      </c>
      <c r="E28" s="19" t="n">
        <v>2026</v>
      </c>
      <c r="F28" s="20" t="n"/>
      <c r="G28" s="21" t="n"/>
      <c r="H28" s="22" t="n"/>
      <c r="I28" s="23" t="n"/>
      <c r="J28" s="24" t="n"/>
      <c r="K28" s="25" t="n"/>
      <c r="L28" s="26" t="n"/>
      <c r="M28" s="27" t="n"/>
      <c r="N28" s="28" t="n">
        <v>1751</v>
      </c>
      <c r="O28" s="17" t="inlineStr">
        <is>
          <t>1 751 ₽</t>
        </is>
      </c>
      <c r="P28" s="17" t="inlineStr">
        <is>
          <t>— (память не хранит)</t>
        </is>
      </c>
      <c r="Q28" s="17" t="inlineStr">
        <is>
          <t>Отказ владельца</t>
        </is>
      </c>
      <c r="R28" s="16" t="inlineStr">
        <is>
          <t>Black</t>
        </is>
      </c>
      <c r="S28" s="16" t="inlineStr">
        <is>
          <t>WB</t>
        </is>
      </c>
      <c r="T28" s="17" t="inlineStr">
        <is>
          <t>Полноразмерная 108 клавиш (цифровой блок), низкопрофильный ножничный механизм, ход ~3 мм. Bluetooth 5.0 + USB Type-C, встроенный аккумулятор. Рус/англ раскладка. Совместимость: Android, Windows, iOS, macOS, Linux. Корпус: металл + пластик, 455 г. Без подсветки, KRO 6 клавиш, радиус BT ~1,5 м. Подтехника к Pad 7 — приданное нового стационарного устройства. 28.09.2026: ЗАКРЫТО. Устройство никогда не было на руках — весь цикл прошёл в статусе «Оформлен, сборка, в пути». Планшетная ветка свёрнута, переоформление невозможно — нет носителя. · 16.10.2026: статус исправлен — отказ владельца</t>
        </is>
      </c>
      <c r="U28" s="29">
        <f>HYPERLINK("#'Личные дела'!A28","открыть ▸")</f>
        <v/>
      </c>
      <c r="V28" s="131" t="inlineStr">
        <is>
          <t>ОТМЕНЁН</t>
        </is>
      </c>
      <c r="W28" s="0">
        <f>IF(AND($N28&gt;0,NOT(ISNUMBER(SEARCH("Отказ владельца",$Q28)))),$N28,"")</f>
        <v/>
      </c>
      <c r="AW28" s="0">
        <f>IF(ISNUMBER(SEARCH("Отказ владельца",$Q28)),"ОТКАЗ","ОК")</f>
        <v/>
      </c>
    </row>
    <row r="29">
      <c r="A29" s="30" t="inlineStr">
        <is>
          <t>16.2</t>
        </is>
      </c>
      <c r="B29" s="31" t="inlineStr">
        <is>
          <t>Redragon Storm Basic</t>
        </is>
      </c>
      <c r="C29" s="45" t="inlineStr">
        <is>
          <t>Ушли и прочие</t>
        </is>
      </c>
      <c r="D29" s="32" t="n">
        <v>2026</v>
      </c>
      <c r="E29" s="32" t="n">
        <v>2026</v>
      </c>
      <c r="F29" s="33" t="n"/>
      <c r="G29" s="34" t="n"/>
      <c r="H29" s="35" t="n"/>
      <c r="I29" s="36" t="n">
        <v>1000</v>
      </c>
      <c r="J29" s="37" t="n"/>
      <c r="K29" s="38" t="n"/>
      <c r="L29" s="39" t="n"/>
      <c r="M29" s="40" t="n"/>
      <c r="N29" s="41" t="n">
        <v>1737</v>
      </c>
      <c r="O29" s="31" t="inlineStr">
        <is>
          <t>1 737 ₽</t>
        </is>
      </c>
      <c r="P29" s="31" t="inlineStr">
        <is>
          <t>— (память не хранит)</t>
        </is>
      </c>
      <c r="Q29" s="31" t="inlineStr">
        <is>
          <t>Отказ владельца</t>
        </is>
      </c>
      <c r="R29" s="30" t="inlineStr">
        <is>
          <t>Black</t>
        </is>
      </c>
      <c r="S29" s="30" t="inlineStr">
        <is>
          <t>WB</t>
        </is>
      </c>
      <c r="T29" s="31" t="inlineStr">
        <is>
          <t>Проводная игровая мышь, USB, кабель 1,8 м в тканевой оплетке. Сенсор Pixart P3327, 200–12400 dpi, 1000 Гц, 30 G, 220 IPS. 5 кнопок + колесо-кнопка, переключатели Huano, ресурс 10 млн кликов. 90 г, 127×66×41 мм. Тефлоновые ножки, редактор макросов. Первая игровая периферия в фонде. Подтехника к Pad 7. 28.09.2026: ЗАКРЫТО. Устройство никогда не было на руках — весь цикл прошёл в статусе «Оформлен, сборка, в пути». Планшетная ветка свёрнута, переоформление невозможно — нет носителя. · 16.10.2026: статус исправлен — отказ владельца</t>
        </is>
      </c>
      <c r="U29" s="29">
        <f>HYPERLINK("#'Личные дела'!A29","открыть ▸")</f>
        <v/>
      </c>
      <c r="V29" s="131" t="inlineStr">
        <is>
          <t>ОТМЕНЁН</t>
        </is>
      </c>
      <c r="W29" s="0">
        <f>IF(AND($N29&gt;0,NOT(ISNUMBER(SEARCH("Отказ владельца",$Q29)))),$N29,"")</f>
        <v/>
      </c>
      <c r="AX29" s="0">
        <f>IF(ISNUMBER(SEARCH("Отказ владельца",$Q29)),"ОТКАЗ","ОК")</f>
        <v/>
      </c>
    </row>
    <row r="30">
      <c r="A30" s="16" t="inlineStr">
        <is>
          <t>16.3</t>
        </is>
      </c>
      <c r="B30" s="17" t="inlineStr">
        <is>
          <t>WALKER OTG Type-C → USB</t>
        </is>
      </c>
      <c r="C30" s="45" t="inlineStr">
        <is>
          <t>Ушли и прочие</t>
        </is>
      </c>
      <c r="D30" s="19" t="n">
        <v>2026</v>
      </c>
      <c r="E30" s="19" t="n">
        <v>2026</v>
      </c>
      <c r="F30" s="20" t="n"/>
      <c r="G30" s="21" t="n"/>
      <c r="H30" s="22" t="n"/>
      <c r="I30" s="23" t="n"/>
      <c r="J30" s="24" t="n"/>
      <c r="K30" s="25" t="n"/>
      <c r="L30" s="26" t="n"/>
      <c r="M30" s="27" t="n"/>
      <c r="N30" s="28" t="n">
        <v>473</v>
      </c>
      <c r="O30" s="17" t="inlineStr">
        <is>
          <t>473 ₽</t>
        </is>
      </c>
      <c r="P30" s="17" t="inlineStr">
        <is>
          <t>— (память не хранит)</t>
        </is>
      </c>
      <c r="Q30" s="17" t="inlineStr">
        <is>
          <t>Отказ владельца</t>
        </is>
      </c>
      <c r="R30" s="16" t="inlineStr">
        <is>
          <t>Black</t>
        </is>
      </c>
      <c r="S30" s="16" t="inlineStr">
        <is>
          <t>WB</t>
        </is>
      </c>
      <c r="T30" s="17" t="inlineStr">
        <is>
          <t>Переходник Type-C (штекер) → USB (гнездо), OTG. Бренд WALKER, производство Китай. Проводник: медь + алюминий, 16 пар. Оболочка: PVC. Совместимость: ноутбук, смартфон, планшет, фото- и видеотехника. Гарантия 12 мес. Вес 5 г, размер 1,7×3 см. Связующее звено: проводная мышь Redragon подключается к порту Type-C планшета Pad 7 именно через этот переходник. Подтехника к Pad 7. 28.09.2026: ЗАКРЫТО. Устройство никогда не было на руках — весь цикл прошёл в статусе «Оформлен, сборка, в пути». Планшетная ветка свёрнута, переоформление невозможно — нет носителя. · 16.10.2026: статус исправлен — отказ владельца</t>
        </is>
      </c>
      <c r="U30" s="29">
        <f>HYPERLINK("#'Личные дела'!A30","открыть ▸")</f>
        <v/>
      </c>
      <c r="V30" s="131" t="inlineStr">
        <is>
          <t>ОТМЕНЁН</t>
        </is>
      </c>
      <c r="W30" s="0">
        <f>IF(AND($N30&gt;0,NOT(ISNUMBER(SEARCH("Отказ владельца",$Q30)))),$N30,"")</f>
        <v/>
      </c>
      <c r="AY30" s="0">
        <f>IF(ISNUMBER(SEARCH("Отказ владельца",$Q30)),"ОТКАЗ","ОК")</f>
        <v/>
      </c>
    </row>
    <row r="31">
      <c r="A31" s="30" t="inlineStr">
        <is>
          <t>17</t>
        </is>
      </c>
      <c r="B31" s="31" t="inlineStr">
        <is>
          <t>Xiaomi Pad 7</t>
        </is>
      </c>
      <c r="C31" s="42" t="inlineStr">
        <is>
          <t>Ушли и прочие</t>
        </is>
      </c>
      <c r="D31" s="32" t="n">
        <v>2026</v>
      </c>
      <c r="E31" s="32" t="n">
        <v>2026</v>
      </c>
      <c r="F31" s="33" t="n">
        <v>256</v>
      </c>
      <c r="G31" s="34" t="n">
        <v>12</v>
      </c>
      <c r="H31" s="35" t="n">
        <v>11.2</v>
      </c>
      <c r="I31" s="36" t="n">
        <v>144</v>
      </c>
      <c r="J31" s="37" t="n">
        <v>8850</v>
      </c>
      <c r="K31" s="38" t="n"/>
      <c r="L31" s="39" t="n"/>
      <c r="M31" s="40" t="n">
        <v>45</v>
      </c>
      <c r="N31" s="41" t="n">
        <v>36000</v>
      </c>
      <c r="O31" s="31" t="inlineStr">
        <is>
          <t>~36 000 ₽ (12/256, Blue)</t>
        </is>
      </c>
      <c r="P31" s="31" t="inlineStr">
        <is>
          <t>256 ГБ UFS 4.0, ОЗУ 12 ГБ LPDDR5X</t>
        </is>
      </c>
      <c r="Q31" s="31" t="inlineStr">
        <is>
          <t>ЗАКРЫТО</t>
        </is>
      </c>
      <c r="R31" s="30" t="inlineStr">
        <is>
          <t>Blue</t>
        </is>
      </c>
      <c r="S31" s="30" t="inlineStr">
        <is>
          <t>WB (каталог 1195323120)</t>
        </is>
      </c>
      <c r="T31" s="31" t="inlineStr">
        <is>
          <t>11,2" IPS 3.2K (3200×2136), 144 Гц. Snapdragon 7+ Gen 3 (4 нм), Adreno 732, ~1,37 млн AnTuTu. Android 15, HyperOS 2. Батарея 8850 мАч, зарядка 45 Вт. Wi-Fi 6E, BT 5.2. 4 динамика, Dolby Atmos. Металлический корпус, ~500 г. Без SIM, без NFC. Преемник Pad M1: на ~55–60% быстрее в синтетике, +4 ГБ ОЗУ, UFS 4.0 вместо UFS 2.2, 144 Гц вместо 120 Гц. Целевые нагрузки: Geometry Dash с Geode (50–100 модов), Minecraft с шейдерами, GoreBox. Ожидает возврата средств за Pad M1 (на момент записи на WB оставалось 4 экз.). 28.09.2026: ЗАКРЫТО. «Условия не позволяют обеспечить им достойную мощность». Основная зарядка — от генератора, а не от городского электричества. Планшетная ветка свёрнута. Возврат к теме — 2030.</t>
        </is>
      </c>
      <c r="U31" s="29">
        <f>HYPERLINK("#'Личные дела'!A31","открыть ▸")</f>
        <v/>
      </c>
      <c r="V31" s="131" t="inlineStr">
        <is>
          <t>ОТМЕНЁН</t>
        </is>
      </c>
      <c r="W31" s="0">
        <f>IF(AND($N31&gt;0,NOT(ISNUMBER(SEARCH("Отказ владельца",$Q31)))),$N31,"")</f>
        <v/>
      </c>
      <c r="AZ31" s="0">
        <f>IF(ISNUMBER(SEARCH("Отказ владельца",$Q31)),"ОТКАЗ","ОК")</f>
        <v/>
      </c>
    </row>
    <row r="32">
      <c r="A32" s="16" t="inlineStr">
        <is>
          <t>18</t>
        </is>
      </c>
      <c r="B32" s="17" t="inlineStr">
        <is>
          <t>Philips Xenium X175</t>
        </is>
      </c>
      <c r="C32" s="44" t="inlineStr">
        <is>
          <t>На службе</t>
        </is>
      </c>
      <c r="D32" s="19" t="n">
        <v>2026</v>
      </c>
      <c r="E32" s="19" t="n">
        <v>2026</v>
      </c>
      <c r="F32" s="20" t="n"/>
      <c r="G32" s="21" t="n"/>
      <c r="H32" s="22" t="n"/>
      <c r="I32" s="23" t="n"/>
      <c r="J32" s="24" t="n"/>
      <c r="K32" s="25" t="n"/>
      <c r="L32" s="26" t="n"/>
      <c r="M32" s="27" t="n"/>
      <c r="N32" s="28" t="n">
        <v>2590</v>
      </c>
      <c r="O32" s="17" t="inlineStr">
        <is>
          <t>2 590 ₽</t>
        </is>
      </c>
      <c r="P32" s="17" t="inlineStr">
        <is>
          <t>—</t>
        </is>
      </c>
      <c r="Q32" s="17" t="inlineStr">
        <is>
          <t>Запасной оператор связи на тяжёлые времена</t>
        </is>
      </c>
      <c r="R32" s="16" t="inlineStr">
        <is>
          <t>Black</t>
        </is>
      </c>
      <c r="S32" s="16" t="inlineStr">
        <is>
          <t>WB (каталог 1055454807)</t>
        </is>
      </c>
      <c r="T32" s="17" t="inlineStr">
        <is>
          <t>Кнопочный мобильный телефон. Серия Xenium — традиция длинной автономности Philips. Брат-резерв к Nokia 6300 (№ 12) и наследник отменённого BQ Tank (№ 15).10.10.2026: получен — в один день с GT 30 Pro (№ 20). Включён: на экране 18:38, 10.10.2026, суббота — дата верна. SIM-карты не установлены — Xenium вежливо ждёт приписки.</t>
        </is>
      </c>
      <c r="U32" s="29">
        <f>HYPERLINK("#'Личные дела'!A32","открыть ▸")</f>
        <v/>
      </c>
      <c r="W32" s="0">
        <f>IF(AND($N32&gt;0,NOT(ISNUMBER(SEARCH("Отказ владельца",$Q32)))),$N32,"")</f>
        <v/>
      </c>
      <c r="BA32" s="0">
        <f>IF(ISNUMBER(SEARCH("Отказ владельца",$Q32)),"ОТКАЗ","ОК")</f>
        <v/>
      </c>
    </row>
    <row r="33">
      <c r="A33" s="30" t="inlineStr">
        <is>
          <t>19</t>
        </is>
      </c>
      <c r="B33" s="31" t="inlineStr">
        <is>
          <t>Redmi Note 13 5G</t>
        </is>
      </c>
      <c r="C33" s="42" t="inlineStr">
        <is>
          <t>Ушли и прочие</t>
        </is>
      </c>
      <c r="D33" s="32" t="n">
        <v>2026</v>
      </c>
      <c r="E33" s="32" t="n">
        <v>2026</v>
      </c>
      <c r="F33" s="33" t="n">
        <v>256</v>
      </c>
      <c r="G33" s="34" t="n">
        <v>12</v>
      </c>
      <c r="H33" s="35" t="n">
        <v>6.67</v>
      </c>
      <c r="I33" s="36" t="n">
        <v>120</v>
      </c>
      <c r="J33" s="37" t="n">
        <v>5000</v>
      </c>
      <c r="K33" s="38" t="n">
        <v>108</v>
      </c>
      <c r="L33" s="39" t="n">
        <v>2.4</v>
      </c>
      <c r="M33" s="40" t="n">
        <v>33</v>
      </c>
      <c r="N33" s="41" t="n">
        <v>15473</v>
      </c>
      <c r="O33" s="31" t="inlineStr">
        <is>
          <t>15 473 ₽</t>
        </is>
      </c>
      <c r="P33" s="31" t="inlineStr">
        <is>
          <t>256 ГБ UFS 2.2 + microSD до 1 ТБ, ОЗУ 12 ГБ</t>
        </is>
      </c>
      <c r="Q33" s="31" t="inlineStr">
        <is>
          <t>ВЫЧЕРКНУТ</t>
        </is>
      </c>
      <c r="R33" s="30" t="inlineStr">
        <is>
          <t>Black</t>
        </is>
      </c>
      <c r="S33" s="30" t="inlineStr">
        <is>
          <t>WB (каталог 1207714604)</t>
        </is>
      </c>
      <c r="T33" s="31" t="inlineStr">
        <is>
          <t>6,67" AMOLED (1080×2400), 120 Гц, 1000 нит. 108 МП (OIS), фронт. 16 МП. MediaTek Dimensity 6080 (2×A76 2,4 ГГц + 6×A55 2,0 ГГц). Android 14, HyperOS 2. Батарея 5 000 мАч, 33 Вт. USB-C, NFC, стерео. Запасной рыцарь при Короле. Скачок эпох: A53→A76, eMMC→UFS 2.2, IPS→AMOLED, 16 МП→108 МП, 18 Вт→33 Вт, моно→стерео.</t>
        </is>
      </c>
      <c r="U33" s="29">
        <f>HYPERLINK("#'Личные дела'!A33","открыть ▸")</f>
        <v/>
      </c>
      <c r="V33" s="131" t="inlineStr">
        <is>
          <t>ОТМЕНЁН</t>
        </is>
      </c>
      <c r="W33" s="0">
        <f>IF(AND($N33&gt;0,NOT(ISNUMBER(SEARCH("Отказ владельца",$Q33)))),$N33,"")</f>
        <v/>
      </c>
      <c r="BB33" s="0">
        <f>IF(ISNUMBER(SEARCH("Отказ владельца",$Q33)),"ОТКАЗ","ОК")</f>
        <v/>
      </c>
    </row>
    <row r="34">
      <c r="A34" s="16" t="inlineStr">
        <is>
          <t>20</t>
        </is>
      </c>
      <c r="B34" s="17" t="inlineStr">
        <is>
          <t>Infinix GT 30 Pro</t>
        </is>
      </c>
      <c r="C34" s="44" t="inlineStr">
        <is>
          <t>На службе</t>
        </is>
      </c>
      <c r="D34" s="19" t="n">
        <v>2026</v>
      </c>
      <c r="E34" s="19" t="n">
        <v>2026</v>
      </c>
      <c r="F34" s="20" t="n">
        <v>256</v>
      </c>
      <c r="G34" s="21" t="n">
        <v>12</v>
      </c>
      <c r="H34" s="22" t="n">
        <v>6.78</v>
      </c>
      <c r="I34" s="23" t="n">
        <v>144</v>
      </c>
      <c r="J34" s="24" t="n">
        <v>5500</v>
      </c>
      <c r="K34" s="25" t="n">
        <v>108</v>
      </c>
      <c r="L34" s="26" t="n">
        <v>3.35</v>
      </c>
      <c r="M34" s="27" t="n">
        <v>45</v>
      </c>
      <c r="N34" s="28" t="n">
        <v>35969</v>
      </c>
      <c r="O34" s="17" t="inlineStr">
        <is>
          <t>35 969 ₽</t>
        </is>
      </c>
      <c r="P34" s="17" t="inlineStr">
        <is>
          <t>256 ГБ UFS 4.0, ОЗУ 12 ГБ LPDDR5X</t>
        </is>
      </c>
      <c r="Q34" s="17" t="inlineStr">
        <is>
          <t>Основной запасной — преемник Infinix Hot 30 Play</t>
        </is>
      </c>
      <c r="R34" s="16" t="inlineStr">
        <is>
          <t>Dark Flare</t>
        </is>
      </c>
      <c r="S34" s="16" t="inlineStr">
        <is>
          <t>WB (каталог 890339441)</t>
        </is>
      </c>
      <c r="T34" s="17" t="inlineStr">
        <is>
          <t>6,78" AMOLED 1,5K (2720×1224), 144 Гц, 4500 нит. 108 МП + 8 МП ширик, фронт. 13 МП. MediaTek Dimensity 8350 Ultimate (4 нм, 1×A715 3,35 ГГц + 3×A715 3,2 ГГц + 4×A510 2,2 ГГц), Mali-G615 MC6. Android 15, XOS 15. Батарея 5 500 мАч, 45 Вт проводная, 30 Вт беспроводная. 5G, NFC, BT 5.4, IP64. GT-триггеры, LED-подсветка, bypass-зарядка, 3D Vapor Cloud Chamber (5400 мм²), стерео, ИК-порт. 188 г. AnTuTu ~1,3–1,75 млн. Первый Infinix без единого доисторического компонента. Эволюция завершена.10.10.2026: получен — в один день с Philips Xenium X175 (№ 18). Принял присягу: заводской стикер подтверждает Dimensity 8350, 144 Гц AMOLED, триггеры, 256+12 ГБ. Киберклинок материализован</t>
        </is>
      </c>
      <c r="U34" s="29">
        <f>HYPERLINK("#'Личные дела'!A34","открыть ▸")</f>
        <v/>
      </c>
      <c r="W34" s="0">
        <f>IF(AND($N34&gt;0,NOT(ISNUMBER(SEARCH("Отказ владельца",$Q34)))),$N34,"")</f>
        <v/>
      </c>
      <c r="BC34" s="0">
        <f>IF(ISNUMBER(SEARCH("Отказ владельца",$Q34)),"ОТКАЗ","ОК")</f>
        <v/>
      </c>
    </row>
    <row r="35">
      <c r="A35" s="0" t="inlineStr">
        <is>
          <t>14.3</t>
        </is>
      </c>
      <c r="B35" s="0" t="inlineStr">
        <is>
          <t>Xiaomi HyperCharge Power Bank 25000 (212 Вт)</t>
        </is>
      </c>
      <c r="C35" s="0" t="inlineStr">
        <is>
          <t>Подтехники</t>
        </is>
      </c>
      <c r="D35" s="0" t="n">
        <v>2026</v>
      </c>
      <c r="E35" s="0" t="n">
        <v>2026</v>
      </c>
      <c r="N35" s="0" t="n">
        <v>17963</v>
      </c>
      <c r="O35" s="0" t="inlineStr">
        <is>
          <t>17 963 ₽</t>
        </is>
      </c>
      <c r="P35" s="0" t="inlineStr">
        <is>
          <t>25 000 мАч (90,8 Вт·ч), 2×USB-C + USB-A</t>
        </is>
      </c>
      <c r="Q35" s="0" t="inlineStr">
        <is>
          <t>Подтехника — на службе</t>
        </is>
      </c>
      <c r="R35" s="0" t="inlineStr">
        <is>
          <t>—</t>
        </is>
      </c>
      <c r="S35" s="0" t="inlineStr">
        <is>
          <t>WB</t>
        </is>
      </c>
      <c r="T35" s="0" t="inlineStr">
        <is>
          <t>Прозрачный корпус, цветной дисплей заряда. До 140 Вт с одного USB-C (PD 3.1), до 212 Вт суммарно на три порта; тянет ноутбуки и смартфоны. Номинальная ёмкость ~14 000 мАч. Единственная подтехника, оставленная владельцем (16.10.2026). Рынок: ~5 990 ₽ (CN-версия) — 11 490 ₽ (GL, BHR9970GL). Цена подтверждена владельцем 16.10.2026: 17 963 ₽ (архивная приписка «4000+» аннулирована).</t>
        </is>
      </c>
      <c r="W35" s="0">
        <f>IF(AND($N35&gt;0,NOT(ISNUMBER(SEARCH("Отказ владельца",$Q35)))),$N35,"")</f>
        <v/>
      </c>
      <c r="BD35" s="0">
        <f>IF(ISNUMBER(SEARCH("Отказ владельца",$Q35)),"ОТКАЗ","ОК")</f>
        <v/>
      </c>
    </row>
    <row r="36">
      <c r="A36" s="16" t="inlineStr">
        <is>
          <t>21</t>
        </is>
      </c>
      <c r="B36" s="17" t="inlineStr">
        <is>
          <t>TeXet TM-130</t>
        </is>
      </c>
      <c r="C36" s="44" t="inlineStr">
        <is>
          <t>На службе</t>
        </is>
      </c>
      <c r="D36" s="19" t="n">
        <v>2019</v>
      </c>
      <c r="E36" s="19" t="n">
        <v>2025</v>
      </c>
      <c r="F36" s="20" t="n"/>
      <c r="G36" s="21" t="n"/>
      <c r="H36" s="22" t="n">
        <v>1.77</v>
      </c>
      <c r="I36" s="23" t="n"/>
      <c r="J36" s="24" t="n">
        <v>600</v>
      </c>
      <c r="K36" s="25" t="n"/>
      <c r="L36" s="26" t="n"/>
      <c r="M36" s="27" t="n"/>
      <c r="N36" s="28" t="n">
        <v>800</v>
      </c>
      <c r="O36" s="17" t="inlineStr">
        <is>
          <t>800 ₽</t>
        </is>
      </c>
      <c r="P36" s="17" t="inlineStr">
        <is>
          <t>32 МБ + microSD до 32 ГБ</t>
        </is>
      </c>
      <c r="Q36" s="17" t="inlineStr">
        <is>
          <t>На службе</t>
        </is>
      </c>
      <c r="R36" s="16" t="inlineStr">
        <is>
          <t>Black</t>
        </is>
      </c>
      <c r="S36" s="16" t="inlineStr">
        <is>
          <t>Эльдорадо, Керчь</t>
        </is>
      </c>
      <c r="T36" s="17" t="inlineStr">
        <is>
          <t>1,77" TFT-TN (128×160), 2G, 2 SIM. Без камеры и Bluetooth — «использование в условиях повышенной информационной безопасности». FM-радио, фонарик, диктофон. Батарея 600 мАч съёмная, Micro-USB. 110×47×14 мм, 65 г. Диптих «перед/задник» — фото автора. На службе (в другом городе).</t>
        </is>
      </c>
      <c r="U36" s="29" t="n"/>
      <c r="W36" s="0">
        <f>IF(AND($N36&gt;0,NOT(ISNUMBER(SEARCH("Отказ владельца",$Q36)))),$N36,"")</f>
        <v/>
      </c>
    </row>
  </sheetData>
  <autoFilter ref="A1:U35">
    <filterColumn colId="0" hiddenButton="0" showButton="1"/>
  </autoFilter>
  <conditionalFormatting sqref="F2:F34">
    <cfRule type="dataBar" priority="26">
      <dataBar>
        <cfvo type="num" val="0"/>
        <cfvo type="max"/>
        <color rgb="00C9A86A"/>
      </dataBar>
    </cfRule>
    <cfRule type="dataBar" priority="2">
      <dataBar>
        <cfvo type="min"/>
        <cfvo type="max"/>
        <color rgb="00B08D2E"/>
      </dataBar>
    </cfRule>
  </conditionalFormatting>
  <conditionalFormatting sqref="Q2:Q34">
    <cfRule type="containsText" priority="24" operator="containsText" dxfId="0" text="ВЫЧЕРКНУТ">
      <formula>NOT(ISERROR(SEARCH("ВЫЧЕРКНУТ",Q2)))</formula>
    </cfRule>
    <cfRule type="containsText" priority="11" operator="containsText" dxfId="1" text="Ветеран">
      <formula>NOT(ISERROR(SEARCH("Ветеран",Q2)))</formula>
    </cfRule>
    <cfRule type="containsText" priority="7" operator="containsText" dxfId="2" text="провода">
      <formula>NOT(ISERROR(SEARCH("провода",Q2)))</formula>
    </cfRule>
    <cfRule type="containsText" priority="19" operator="containsText" dxfId="3" text="Альтернативная">
      <formula>NOT(ISERROR(SEARCH("Альтернативная",Q2)))</formula>
    </cfRule>
    <cfRule type="containsText" priority="12" operator="containsText" dxfId="4" text="Король">
      <formula>NOT(ISERROR(SEARCH("Король",Q2)))</formula>
    </cfRule>
    <cfRule type="containsText" priority="20" operator="containsText" dxfId="3" text="Бартер">
      <formula>NOT(ISERROR(SEARCH("Бартер",Q2)))</formula>
    </cfRule>
    <cfRule type="containsText" priority="16" operator="containsText" dxfId="3" text="Артефакт">
      <formula>NOT(ISERROR(SEARCH("Артефакт",Q2)))</formula>
    </cfRule>
    <cfRule type="containsText" priority="21" operator="containsText" dxfId="0" text="Ушёл">
      <formula>NOT(ISERROR(SEARCH("Ушёл",Q2)))</formula>
    </cfRule>
    <cfRule type="containsText" priority="8" operator="containsText" dxfId="2" text="яростью">
      <formula>NOT(ISERROR(SEARCH("яростью",Q2)))</formula>
    </cfRule>
    <cfRule type="containsText" priority="18" operator="containsText" dxfId="3" text="Подтехника">
      <formula>NOT(ISERROR(SEARCH("Подтехника",Q2)))</formula>
    </cfRule>
    <cfRule type="containsText" priority="13" operator="containsText" dxfId="10" text="Основной">
      <formula>NOT(ISERROR(SEARCH("Основной",Q2)))</formula>
    </cfRule>
    <cfRule type="containsText" priority="10" operator="containsText" dxfId="11" text="В пути">
      <formula>NOT(ISERROR(SEARCH("В пути",Q2)))</formula>
    </cfRule>
    <cfRule type="containsText" priority="23" operator="containsText" dxfId="0" text="Изгнан">
      <formula>NOT(ISERROR(SEARCH("Изгнан",Q2)))</formula>
    </cfRule>
    <cfRule type="containsText" priority="9" operator="containsText" dxfId="2" text="убитым">
      <formula>NOT(ISERROR(SEARCH("убитым",Q2)))</formula>
    </cfRule>
    <cfRule type="containsText" priority="17" operator="containsText" dxfId="3" text="Доисторическая">
      <formula>NOT(ISERROR(SEARCH("Доисторическая",Q2)))</formula>
    </cfRule>
    <cfRule type="containsText" priority="22" operator="containsText" dxfId="0" text="утерян">
      <formula>NOT(ISERROR(SEARCH("утерян",Q2)))</formula>
    </cfRule>
    <cfRule type="containsText" priority="25" operator="containsText" dxfId="0" text="Продан">
      <formula>NOT(ISERROR(SEARCH("Продан",Q2)))</formula>
    </cfRule>
    <cfRule type="containsText" priority="15" operator="containsText" dxfId="10" text="Резерв">
      <formula>NOT(ISERROR(SEARCH("Резерв",Q2)))</formula>
    </cfRule>
    <cfRule type="containsText" priority="14" operator="containsText" dxfId="10" text="службе">
      <formula>NOT(ISERROR(SEARCH("службе",Q2)))</formula>
    </cfRule>
  </conditionalFormatting>
  <conditionalFormatting sqref="K2:K34">
    <cfRule type="dataBar" priority="29">
      <dataBar>
        <cfvo type="num" val="0"/>
        <cfvo type="max"/>
        <color rgb="00C9A86A"/>
      </dataBar>
    </cfRule>
    <cfRule type="dataBar" priority="4">
      <dataBar>
        <cfvo type="min"/>
        <cfvo type="max"/>
        <color rgb="00B08D2E"/>
      </dataBar>
    </cfRule>
  </conditionalFormatting>
  <conditionalFormatting sqref="N2:N34">
    <cfRule type="dataBar" priority="6">
      <dataBar>
        <cfvo type="min"/>
        <cfvo type="max"/>
        <color rgb="00B08D2E"/>
      </dataBar>
    </cfRule>
    <cfRule type="dataBar" priority="31">
      <dataBar>
        <cfvo type="num" val="0"/>
        <cfvo type="max"/>
        <color rgb="00C9A86A"/>
      </dataBar>
    </cfRule>
  </conditionalFormatting>
  <conditionalFormatting sqref="E2:E34">
    <cfRule type="dataBar" priority="1">
      <dataBar>
        <cfvo type="min"/>
        <cfvo type="max"/>
        <color rgb="00B08D2E"/>
      </dataBar>
    </cfRule>
  </conditionalFormatting>
  <conditionalFormatting sqref="M2:M34">
    <cfRule type="dataBar" priority="30">
      <dataBar>
        <cfvo type="num" val="0"/>
        <cfvo type="max"/>
        <color rgb="00C9A86A"/>
      </dataBar>
    </cfRule>
    <cfRule type="dataBar" priority="5">
      <dataBar>
        <cfvo type="min"/>
        <cfvo type="max"/>
        <color rgb="00B08D2E"/>
      </dataBar>
    </cfRule>
  </conditionalFormatting>
  <conditionalFormatting sqref="J2:J34">
    <cfRule type="dataBar" priority="28">
      <dataBar>
        <cfvo type="num" val="0"/>
        <cfvo type="max"/>
        <color rgb="00C9A86A"/>
      </dataBar>
    </cfRule>
    <cfRule type="dataBar" priority="3">
      <dataBar>
        <cfvo type="min"/>
        <cfvo type="max"/>
        <color rgb="00B08D2E"/>
      </dataBar>
    </cfRule>
  </conditionalFormatting>
  <conditionalFormatting sqref="G2:G34">
    <cfRule type="dataBar" priority="27">
      <dataBar>
        <cfvo type="num" val="0"/>
        <cfvo type="max"/>
        <color rgb="00C9A86A"/>
      </dataBar>
    </cfRule>
  </conditionalFormatting>
  <conditionalFormatting sqref="Q2:Q35">
    <cfRule type="containsText" priority="32" operator="containsText" dxfId="19" text="Отказ">
      <formula>NOT(ISERROR(SEARCH("Отказ",Q2)))</formula>
    </cfRule>
    <cfRule type="containsText" priority="24" operator="containsText" dxfId="0" text="ВЫЧЕРКНУТ">
      <formula>NOT(ISERROR(SEARCH("ВЫЧЕРКНУТ",Q2)))</formula>
    </cfRule>
    <cfRule type="containsText" priority="11" operator="containsText" dxfId="1" text="Ветеран">
      <formula>NOT(ISERROR(SEARCH("Ветеран",Q2)))</formula>
    </cfRule>
    <cfRule type="containsText" priority="7" operator="containsText" dxfId="2" text="провода">
      <formula>NOT(ISERROR(SEARCH("провода",Q2)))</formula>
    </cfRule>
    <cfRule type="containsText" priority="19" operator="containsText" dxfId="3" text="Альтернативная">
      <formula>NOT(ISERROR(SEARCH("Альтернативная",Q2)))</formula>
    </cfRule>
    <cfRule type="containsText" priority="12" operator="containsText" dxfId="4" text="Король">
      <formula>NOT(ISERROR(SEARCH("Король",Q2)))</formula>
    </cfRule>
    <cfRule type="containsText" priority="20" operator="containsText" dxfId="3" text="Бартер">
      <formula>NOT(ISERROR(SEARCH("Бартер",Q2)))</formula>
    </cfRule>
    <cfRule type="containsText" priority="16" operator="containsText" dxfId="3" text="Артефакт">
      <formula>NOT(ISERROR(SEARCH("Артефакт",Q2)))</formula>
    </cfRule>
    <cfRule type="containsText" priority="21" operator="containsText" dxfId="0" text="Ушёл">
      <formula>NOT(ISERROR(SEARCH("Ушёл",Q2)))</formula>
    </cfRule>
    <cfRule type="containsText" priority="8" operator="containsText" dxfId="2" text="яростью">
      <formula>NOT(ISERROR(SEARCH("яростью",Q2)))</formula>
    </cfRule>
    <cfRule type="containsText" priority="18" operator="containsText" dxfId="3" text="Подтехника">
      <formula>NOT(ISERROR(SEARCH("Подтехника",Q2)))</formula>
    </cfRule>
    <cfRule type="containsText" priority="13" operator="containsText" dxfId="10" text="Основной">
      <formula>NOT(ISERROR(SEARCH("Основной",Q2)))</formula>
    </cfRule>
    <cfRule type="containsText" priority="10" operator="containsText" dxfId="11" text="В пути">
      <formula>NOT(ISERROR(SEARCH("В пути",Q2)))</formula>
    </cfRule>
    <cfRule type="containsText" priority="23" operator="containsText" dxfId="0" text="Изгнан">
      <formula>NOT(ISERROR(SEARCH("Изгнан",Q2)))</formula>
    </cfRule>
    <cfRule type="containsText" priority="9" operator="containsText" dxfId="2" text="убитым">
      <formula>NOT(ISERROR(SEARCH("убитым",Q2)))</formula>
    </cfRule>
    <cfRule type="containsText" priority="17" operator="containsText" dxfId="3" text="Доисторическая">
      <formula>NOT(ISERROR(SEARCH("Доисторическая",Q2)))</formula>
    </cfRule>
    <cfRule type="containsText" priority="22" operator="containsText" dxfId="0" text="утерян">
      <formula>NOT(ISERROR(SEARCH("утерян",Q2)))</formula>
    </cfRule>
    <cfRule type="containsText" priority="25" operator="containsText" dxfId="0" text="Продан">
      <formula>NOT(ISERROR(SEARCH("Продан",Q2)))</formula>
    </cfRule>
    <cfRule type="containsText" priority="15" operator="containsText" dxfId="10" text="Резерв">
      <formula>NOT(ISERROR(SEARCH("Резерв",Q2)))</formula>
    </cfRule>
    <cfRule type="containsText" priority="14" operator="containsText" dxfId="10" text="службе">
      <formula>NOT(ISERROR(SEARCH("службе",Q2)))</formula>
    </cfRule>
  </conditionalFormatting>
  <conditionalFormatting sqref="A2:U35">
    <cfRule type="expression" priority="52" dxfId="20">
      <formula>$V2="ОТКАЗ"</formula>
    </cfRule>
  </conditionalFormatting>
  <conditionalFormatting sqref="N2:N36">
    <cfRule type="colorScale" priority="53">
      <colorScale>
        <cfvo type="min"/>
        <cfvo type="percentile" val="50"/>
        <cfvo type="max"/>
        <color rgb="004A90D9"/>
        <color rgb="00F2C94C"/>
        <color rgb="00D64541"/>
      </colorScale>
    </cfRule>
  </conditionalFormatting>
  <conditionalFormatting sqref="V2:V36">
    <cfRule type="cellIs" priority="54" operator="equal" dxfId="21">
      <formula>"ОТМЕНЁН"</formula>
    </cfRule>
  </conditionalFormatting>
  <dataValidations count="4">
    <dataValidation sqref="C2:C36" showDropDown="0" showInputMessage="0" showErrorMessage="0" allowBlank="1" errorTitle="Не из легенды фонда" error="Выбери значение из списка (Категория)" type="list">
      <formula1>=Дашборд!$AA$2:$AA$7</formula1>
    </dataValidation>
    <dataValidation sqref="Q2:Q36" showDropDown="0" showInputMessage="0" showErrorMessage="0" allowBlank="1" errorTitle="Не из легенды фонда" error="Выбери значение из списка (Статус)" type="list">
      <formula1>=Дашборд!$AB$2:$AB$28</formula1>
    </dataValidation>
    <dataValidation sqref="R2:R36" showDropDown="0" showInputMessage="0" showErrorMessage="0" allowBlank="1" errorTitle="Не из легенды фонда" error="Выбери значение из списка (Цвет)" type="list">
      <formula1>=Дашборд!$AC$2:$AC$19</formula1>
    </dataValidation>
    <dataValidation sqref="V2:V36" showDropDown="0" showInputMessage="0" showErrorMessage="0" allowBlank="1" errorTitle="Не из легенды фонда" error="Выбери значение из списка (Флаг)" type="list">
      <formula1>=Дашборд!$AD$2:$AD$2</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114"/>
  <sheetViews>
    <sheetView showGridLines="0" workbookViewId="0">
      <pane ySplit="1" topLeftCell="A2" activePane="bottomLeft" state="frozen"/>
      <selection pane="bottomLeft" activeCell="A1" sqref="A1"/>
    </sheetView>
  </sheetViews>
  <sheetFormatPr baseColWidth="8" defaultColWidth="10" defaultRowHeight="15"/>
  <cols>
    <col width="11" customWidth="1" style="67" min="1" max="1"/>
    <col width="24" customWidth="1" style="67" min="2" max="2"/>
    <col width="45" customWidth="1" style="67" min="3" max="3"/>
    <col width="45" customWidth="1" style="67" min="4" max="4"/>
    <col width="40" customWidth="1" style="67" min="5" max="5"/>
  </cols>
  <sheetData>
    <row r="1">
      <c r="A1" s="14" t="inlineStr">
        <is>
          <t>Время</t>
        </is>
      </c>
      <c r="B1" s="14" t="inlineStr">
        <is>
          <t>Устройство</t>
        </is>
      </c>
      <c r="C1" s="14" t="inlineStr">
        <is>
          <t>Было</t>
        </is>
      </c>
      <c r="D1" s="14" t="inlineStr">
        <is>
          <t>Стало</t>
        </is>
      </c>
      <c r="E1" s="14" t="inlineStr">
        <is>
          <t>Пояснение</t>
        </is>
      </c>
    </row>
    <row r="2">
      <c r="A2" s="48" t="inlineStr">
        <is>
          <t>19:58</t>
        </is>
      </c>
      <c r="B2" s="17" t="inlineStr">
        <is>
          <t>Samsung Galaxy Mini 2</t>
        </is>
      </c>
      <c r="C2" s="17" t="inlineStr">
        <is>
          <t>цвет не указан</t>
        </is>
      </c>
      <c r="D2" s="17" t="inlineStr">
        <is>
          <t>Yellow (официальное название цвета)</t>
        </is>
      </c>
      <c r="E2" s="49" t="n"/>
    </row>
    <row r="3">
      <c r="A3" s="50" t="inlineStr">
        <is>
          <t>19:59</t>
        </is>
      </c>
      <c r="B3" s="31" t="inlineStr">
        <is>
          <t>Lenovo (телефон)</t>
        </is>
      </c>
      <c r="C3" s="31" t="inlineStr">
        <is>
          <t>цвет не указан</t>
        </is>
      </c>
      <c r="D3" s="31" t="inlineStr">
        <is>
          <t>Black; добавлено уточнение «небольшой»</t>
        </is>
      </c>
    </row>
    <row r="4">
      <c r="A4" s="48" t="inlineStr">
        <is>
          <t>20:00</t>
        </is>
      </c>
      <c r="B4" s="17" t="inlineStr">
        <is>
          <t>Infinix Hot 12 Pro</t>
        </is>
      </c>
      <c r="C4" s="17" t="inlineStr">
        <is>
          <t>Чёрный</t>
        </is>
      </c>
      <c r="D4" s="17" t="inlineStr">
        <is>
          <t>Electric Blue (глянцево-голубой)</t>
        </is>
      </c>
      <c r="E4" s="49" t="n"/>
    </row>
    <row r="5">
      <c r="A5" s="50" t="inlineStr">
        <is>
          <t>20:00</t>
        </is>
      </c>
      <c r="B5" s="31" t="inlineStr">
        <is>
          <t>P901</t>
        </is>
      </c>
      <c r="C5" s="31" t="inlineStr">
        <is>
          <t>Серый/Чёрный</t>
        </is>
      </c>
      <c r="D5" s="31" t="inlineStr">
        <is>
          <t>White</t>
        </is>
      </c>
    </row>
    <row r="6">
      <c r="A6" s="48" t="inlineStr">
        <is>
          <t>20:01</t>
        </is>
      </c>
      <c r="B6" s="17" t="inlineStr">
        <is>
          <t>Samsung S25+</t>
        </is>
      </c>
      <c r="C6" s="17" t="inlineStr">
        <is>
          <t>Серый/Чёрный</t>
        </is>
      </c>
      <c r="D6" s="17" t="inlineStr">
        <is>
          <t>Silver Shadow</t>
        </is>
      </c>
      <c r="E6" s="49" t="n"/>
    </row>
    <row r="7">
      <c r="A7" s="50" t="inlineStr">
        <is>
          <t>20:01</t>
        </is>
      </c>
      <c r="B7" s="31" t="inlineStr">
        <is>
          <t>POCO F9 Ultra</t>
        </is>
      </c>
      <c r="C7" s="31" t="inlineStr">
        <is>
          <t>Серый/Чёрный</t>
        </is>
      </c>
      <c r="D7" s="31" t="inlineStr">
        <is>
          <t>Black</t>
        </is>
      </c>
    </row>
    <row r="8">
      <c r="A8" s="48" t="inlineStr">
        <is>
          <t>20:02</t>
        </is>
      </c>
      <c r="B8" s="17" t="inlineStr">
        <is>
          <t>Infinix Hot 11</t>
        </is>
      </c>
      <c r="C8" s="17" t="inlineStr">
        <is>
          <t>Чёрный</t>
        </is>
      </c>
      <c r="D8" s="17" t="inlineStr">
        <is>
          <t>Polar Black</t>
        </is>
      </c>
      <c r="E8" s="49" t="n"/>
    </row>
    <row r="9">
      <c r="A9" s="50" t="inlineStr">
        <is>
          <t>20:02</t>
        </is>
      </c>
      <c r="B9" s="31" t="inlineStr">
        <is>
          <t>Infinix Hot 30 Play</t>
        </is>
      </c>
      <c r="C9" s="31" t="inlineStr">
        <is>
          <t>Чёрный</t>
        </is>
      </c>
      <c r="D9" s="31" t="inlineStr">
        <is>
          <t>Black (официальное)</t>
        </is>
      </c>
    </row>
    <row r="10">
      <c r="A10" s="48" t="inlineStr">
        <is>
          <t>20:03</t>
        </is>
      </c>
      <c r="B10" s="17" t="inlineStr">
        <is>
          <t>BQ-5035 Velvet</t>
        </is>
      </c>
      <c r="C10" s="17" t="inlineStr">
        <is>
          <t>Бежевый</t>
        </is>
      </c>
      <c r="D10" s="17" t="inlineStr">
        <is>
          <t>Gold (официальное; бежевым запомнился владельцу)</t>
        </is>
      </c>
      <c r="E10" s="49" t="n"/>
    </row>
    <row r="11">
      <c r="A11" s="50" t="inlineStr">
        <is>
          <t>20:03</t>
        </is>
      </c>
      <c r="B11" s="31" t="inlineStr">
        <is>
          <t>iPhone 17 Pro Max</t>
        </is>
      </c>
      <c r="C11" s="31" t="inlineStr">
        <is>
          <t>Оранжевый</t>
        </is>
      </c>
      <c r="D11" s="31" t="inlineStr">
        <is>
          <t>Cosmic Orange</t>
        </is>
      </c>
    </row>
    <row r="12">
      <c r="A12" s="48" t="inlineStr">
        <is>
          <t>20:04</t>
        </is>
      </c>
      <c r="B12" s="17" t="inlineStr">
        <is>
          <t>Realme C75</t>
        </is>
      </c>
      <c r="C12" s="17" t="inlineStr">
        <is>
          <t>Тёмный</t>
        </is>
      </c>
      <c r="D12" s="17" t="inlineStr">
        <is>
          <t>Storm Black</t>
        </is>
      </c>
      <c r="E12" s="49" t="n"/>
    </row>
    <row r="13">
      <c r="A13" s="50" t="inlineStr">
        <is>
          <t>20:04</t>
        </is>
      </c>
      <c r="B13" s="31" t="inlineStr">
        <is>
          <t>BQ 2430L Tank Connect</t>
        </is>
      </c>
      <c r="C13" s="31" t="inlineStr">
        <is>
          <t>Чёрный</t>
        </is>
      </c>
      <c r="D13" s="31" t="inlineStr">
        <is>
          <t>Black+Gunmetal</t>
        </is>
      </c>
    </row>
    <row r="14">
      <c r="A14" s="48" t="inlineStr">
        <is>
          <t>20:05</t>
        </is>
      </c>
      <c r="B14" s="17" t="inlineStr">
        <is>
          <t>Lenovo Tab</t>
        </is>
      </c>
      <c r="C14" s="17" t="inlineStr">
        <is>
          <t>Белый</t>
        </is>
      </c>
      <c r="D14" s="17" t="inlineStr">
        <is>
          <t>White</t>
        </is>
      </c>
      <c r="E14" s="49" t="n"/>
    </row>
    <row r="15">
      <c r="A15" s="50" t="inlineStr">
        <is>
          <t>20:06</t>
        </is>
      </c>
      <c r="B15" s="31" t="inlineStr">
        <is>
          <t>Samsung E250</t>
        </is>
      </c>
      <c r="C15" s="31" t="inlineStr">
        <is>
          <t>Серебристый/Чёрный</t>
        </is>
      </c>
      <c r="D15" s="31" t="inlineStr">
        <is>
          <t>Silver</t>
        </is>
      </c>
    </row>
    <row r="16">
      <c r="A16" s="48" t="inlineStr">
        <is>
          <t>20:06</t>
        </is>
      </c>
      <c r="B16" s="17" t="inlineStr">
        <is>
          <t>Nokia 6300 (дело № 0c)</t>
        </is>
      </c>
      <c r="C16" s="17" t="inlineStr">
        <is>
          <t>Серебристый</t>
        </is>
      </c>
      <c r="D16" s="17" t="inlineStr">
        <is>
          <t>Silver</t>
        </is>
      </c>
      <c r="E16" s="49" t="n"/>
    </row>
    <row r="17">
      <c r="A17" s="50" t="inlineStr">
        <is>
          <t>20:07</t>
        </is>
      </c>
      <c r="B17" s="31" t="inlineStr">
        <is>
          <t>Nokia 6300 (дело № 12)</t>
        </is>
      </c>
      <c r="C17" s="31" t="inlineStr">
        <is>
          <t>Серебристый</t>
        </is>
      </c>
      <c r="D17" s="31" t="inlineStr">
        <is>
          <t>Silver</t>
        </is>
      </c>
    </row>
    <row r="18">
      <c r="A18" s="48" t="inlineStr">
        <is>
          <t>20:07</t>
        </is>
      </c>
      <c r="B18" s="17" t="inlineStr">
        <is>
          <t>Soyes F8 Pro Max</t>
        </is>
      </c>
      <c r="C18" s="17" t="inlineStr">
        <is>
          <t>Чёрный</t>
        </is>
      </c>
      <c r="D18" s="17" t="inlineStr">
        <is>
          <t>Black (официальное)</t>
        </is>
      </c>
      <c r="E18" s="49" t="n"/>
    </row>
    <row r="19">
      <c r="A19" s="50" t="inlineStr">
        <is>
          <t>20:08</t>
        </is>
      </c>
      <c r="B19" s="31" t="inlineStr">
        <is>
          <t>Samsung SGH-C160</t>
        </is>
      </c>
      <c r="C19" s="31" t="inlineStr">
        <is>
          <t>модель SGH-C160</t>
        </is>
      </c>
      <c r="D19" s="31" t="inlineStr">
        <is>
          <t>Samsung SGH-C130 — модель исправлена по официальным данным; синий подтверждён как официальный цвет C130</t>
        </is>
      </c>
    </row>
    <row r="20">
      <c r="A20" s="48" t="inlineStr">
        <is>
          <t>20:09</t>
        </is>
      </c>
      <c r="B20" s="17" t="inlineStr">
        <is>
          <t>BQ Strike</t>
        </is>
      </c>
      <c r="C20" s="17" t="inlineStr">
        <is>
          <t>—</t>
        </is>
      </c>
      <c r="D20" s="17" t="inlineStr">
        <is>
          <t>цвет «Синий» оставлен по воспоминанию владельца (в каталогах BQS-5020 значится Black)</t>
        </is>
      </c>
      <c r="E20" s="49" t="n"/>
    </row>
    <row r="21">
      <c r="A21" s="50" t="inlineStr">
        <is>
          <t>20:10</t>
        </is>
      </c>
      <c r="B21" s="31" t="inlineStr">
        <is>
          <t>Время составления</t>
        </is>
      </c>
      <c r="C21" s="31" t="inlineStr">
        <is>
          <t>15:00–17:00</t>
        </is>
      </c>
      <c r="D21" s="31" t="inlineStr">
        <is>
          <t>15:00–20:50 — правки вносились до вечера</t>
        </is>
      </c>
    </row>
    <row r="22">
      <c r="A22" s="48" t="inlineStr">
        <is>
          <t>20:15</t>
        </is>
      </c>
      <c r="B22" s="17" t="inlineStr">
        <is>
          <t>Новая запись</t>
        </is>
      </c>
      <c r="C22" s="17" t="inlineStr">
        <is>
          <t>—</t>
        </is>
      </c>
      <c r="D22" s="17" t="inlineStr">
        <is>
          <t>Добавлено дело № 2c: Sony Xperia 1 (2018–2019), опознан по фото владельца — чёрный, большой, строго прямоугольный, логотип SONY над экраном</t>
        </is>
      </c>
      <c r="E22" s="49" t="n"/>
    </row>
    <row r="23">
      <c r="A23" s="50" t="inlineStr">
        <is>
          <t>20:20</t>
        </is>
      </c>
      <c r="B23" s="31" t="inlineStr">
        <is>
          <t>Lenovo Tab (дело № 2b)</t>
        </is>
      </c>
      <c r="C23" s="31" t="inlineStr">
        <is>
          <t>Lenovo Tab, модель не установлена, 1 ГБ ОЗУ, White</t>
        </is>
      </c>
      <c r="D23" s="31" t="inlineStr">
        <is>
          <t>Lenovo Tab 2 A10-70L (ZA010021PL): модель опознана по фото владельца; память 2 ГБ ОЗУ, 16 ГБ ПЗУ + microSD; цвет Pearl White; добавлены характеристики (10,1" IPS FHD, MT8732, 7000 мАч); добавлены воспоминания — музыка , Geometry Dash, разрушение кулаком/коленом</t>
        </is>
      </c>
    </row>
    <row r="24">
      <c r="A24" s="48" t="inlineStr">
        <is>
          <t>20:25</t>
        </is>
      </c>
      <c r="B24" s="17" t="inlineStr">
        <is>
          <t>Sony Xperia 1 (дело № 2c)</t>
        </is>
      </c>
      <c r="C24" s="17" t="inlineStr">
        <is>
          <t>личное дело отсутствовало</t>
        </is>
      </c>
      <c r="D24" s="17" t="inlineStr">
        <is>
          <t>добавлена карточка личного дела № 2c — Sony Xperia 1 (J9110), 2018–2019, Black, «Ушёл»; воспоминания: чёрный, большой, прямоугольный, логотип SONY над экраном, рамки сверху и снизу</t>
        </is>
      </c>
      <c r="E24" s="49" t="n"/>
    </row>
    <row r="25">
      <c r="A25" s="50" t="inlineStr">
        <is>
          <t>20:30</t>
        </is>
      </c>
      <c r="B25" s="31" t="inlineStr">
        <is>
          <t>Sony Xperia 1 (дело № 2c)</t>
        </is>
      </c>
      <c r="C25" s="31" t="inlineStr">
        <is>
          <t>строка 2c отсутствовала в реестре устройств</t>
        </is>
      </c>
      <c r="D25" s="31" t="inlineStr">
        <is>
          <t>восстановлена строка 2c в реестре — Sony Xperia 1, 2018–2019, 128 ГБ / 6 ГБ ОЗУ, Black, «Ушёл»; теперь карточка стоит между 2b (Lenovo Tab) и 3 (BQ-5035 Velvet), как и положено</t>
        </is>
      </c>
    </row>
    <row r="26">
      <c r="A26" s="48" t="inlineStr">
        <is>
          <t>20:40</t>
        </is>
      </c>
      <c r="B26" s="17" t="inlineStr">
        <is>
          <t>Lenovo (телефон), дело № 2</t>
        </is>
      </c>
      <c r="C26" s="17" t="inlineStr">
        <is>
          <t>Lenovo (телефон), модель не установлена; память —; цена —</t>
        </is>
      </c>
      <c r="D26" s="17" t="inlineStr">
        <is>
          <t>модель установлена по фото владельца — Lenovo A328; добавлены характеристики (4,5" TFT 854×480, MT6582M, 1 ГБ ОЗУ, 4 ГБ ПЗУ, Android 4.4, 2000 мАч, 2 SIM) и цена ~4 490 ₽ на момент официальных продаж; воспоминание оставлено единственным: «в школе по приколу хотели выкинуть из окна с третьего этажа»</t>
        </is>
      </c>
      <c r="E26" s="49" t="n"/>
    </row>
    <row r="27">
      <c r="A27" s="50" t="inlineStr">
        <is>
          <t>20:45</t>
        </is>
      </c>
      <c r="B27" s="31" t="inlineStr">
        <is>
          <t>Lenovo Tab 2 A10-70L (дело № 2b)</t>
        </is>
      </c>
      <c r="C27" s="31" t="inlineStr">
        <is>
          <t>цена —</t>
        </is>
      </c>
      <c r="D27" s="31" t="inlineStr">
        <is>
          <t>добавлена цена на старте продаж: ~17 990 ₽ (Mobile-review, август 2015)</t>
        </is>
      </c>
    </row>
    <row r="28">
      <c r="A28" s="48" t="inlineStr">
        <is>
          <t>20:46</t>
        </is>
      </c>
      <c r="B28" s="17" t="inlineStr">
        <is>
          <t>Sony Xperia 1 (дело № 2c)</t>
        </is>
      </c>
      <c r="C28" s="17" t="inlineStr">
        <is>
          <t>цена —</t>
        </is>
      </c>
      <c r="D28" s="17" t="inlineStr">
        <is>
          <t>добавлена цена на старте продаж: 79 990 ₽ (РГ, iXBT, Rozetked — июнь 2019)</t>
        </is>
      </c>
      <c r="E28" s="49" t="n"/>
    </row>
    <row r="29">
      <c r="A29" s="50" t="inlineStr">
        <is>
          <t>20:50</t>
        </is>
      </c>
      <c r="B29" s="31" t="inlineStr">
        <is>
          <t>BQ-5035 Velvet (дело № 3)</t>
        </is>
      </c>
      <c r="C29" s="31" t="inlineStr">
        <is>
          <t>год 2016; цена только 2 500 ₽; без указания лет использования</t>
        </is>
      </c>
      <c r="D29" s="31" t="inlineStr">
        <is>
          <t>год выпуска исправлен на 2017 (подтверждено данными ритейлеров: buyon.ru, М.Видео — сентябрь 2017); добавлены годы использования: 2019–прим. 2022 (сдулась батарея); добавлена официальная цена старта продаж: ~4 190 ₽ (bq.ru); цена покупки 2 500 ₽ сохранена</t>
        </is>
      </c>
    </row>
    <row r="30">
      <c r="A30" s="48" t="inlineStr">
        <is>
          <t>15:15</t>
        </is>
      </c>
      <c r="B30" s="17" t="inlineStr">
        <is>
          <t>Новая запись</t>
        </is>
      </c>
      <c r="C30" s="17" t="inlineStr">
        <is>
          <t>—</t>
        </is>
      </c>
      <c r="D30" s="17" t="inlineStr">
        <is>
          <t>26.09.2026, Симферополь: добавлено дело № 16 — POCO Pad M1, планшет, Snapdragon 7s Gen 4, 8/256 ГБ, статус «В пути — Архивариус». Big Poco Brother — первое стационарное устройство семьи POCO. В семье установлено двойное основное устройство: F9 Ultra (мобильное) + Pad M1 (стационарное)</t>
        </is>
      </c>
      <c r="E30" s="49" t="n"/>
    </row>
    <row r="31">
      <c r="A31" s="50" t="inlineStr">
        <is>
          <t>15:18</t>
        </is>
      </c>
      <c r="B31" s="31" t="inlineStr">
        <is>
          <t>POCO Pad M1 (дело № 16)</t>
        </is>
      </c>
      <c r="C31" s="31" t="inlineStr">
        <is>
          <t>~25 000 ₽ — цена, поспешно проставленная соавтором до уточнения</t>
        </is>
      </c>
      <c r="D31" s="31" t="inlineStr">
        <is>
          <t>38 723 ₽ — цена заказа. Примечание к правке: цену владелец заранее не называл — «Алиса сделала поспешные выводы, а пользователь не уследил»</t>
        </is>
      </c>
    </row>
    <row r="32">
      <c r="A32" s="48" t="inlineStr">
        <is>
          <t>17:45</t>
        </is>
      </c>
      <c r="B32" s="17" t="inlineStr">
        <is>
          <t>Новая запись (подтехника)</t>
        </is>
      </c>
      <c r="C32" s="17" t="inlineStr">
        <is>
          <t>—</t>
        </is>
      </c>
      <c r="D32" s="17" t="inlineStr">
        <is>
          <t>26.09.2026, Симферополь: добавлено дело № 16.1 — GEMBIRD KBW-8460, полноразмерная Bluetooth-клавиатура (2026, 1 751 ₽, WB). Первая подтехника в фонде — приданное Pad M1. Выделена бирюзовым как неосновное устройство: в реестре — пунктирная бирюзовая рамка и подсветка, в личном деле — бирюзовая шапка вместо золотой</t>
        </is>
      </c>
      <c r="E32" s="49" t="n"/>
    </row>
    <row r="33">
      <c r="A33" s="50" t="inlineStr">
        <is>
          <t>17:48</t>
        </is>
      </c>
      <c r="B33" s="31" t="inlineStr">
        <is>
          <t>Новая запись (подтехника)</t>
        </is>
      </c>
      <c r="C33" s="31" t="inlineStr">
        <is>
          <t>—</t>
        </is>
      </c>
      <c r="D33" s="31" t="inlineStr">
        <is>
          <t>26.09.2026, Симферополь: добавлено дело № 16.2 — Redragon Storm Basic (71122), проводная игровая мышь (2026, 1 737 ₽, WB). Вторая подтехника в фонде, приданное Pad M1. Первая игровая периферия в истории фонда. Выделена бирюзовым как неосновное устройство</t>
        </is>
      </c>
    </row>
    <row r="34">
      <c r="A34" s="48" t="inlineStr">
        <is>
          <t>18:05</t>
        </is>
      </c>
      <c r="B34" s="17" t="inlineStr">
        <is>
          <t>Новая запись (подтехника)</t>
        </is>
      </c>
      <c r="C34" s="17" t="inlineStr">
        <is>
          <t>—</t>
        </is>
      </c>
      <c r="D34" s="17" t="inlineStr">
        <is>
          <t>26.09.2026, Симферополь: добавлено дело № 16.3 — WALKER OTG Type-C → USB (2026, 473 ₽, WB). Третья и финальная подтехника в фонде — связующее звено между проводной мышью Redragon Storm Basic и портом Type-C планшета Pad M1. Комплект Архивариуса укомплектован: планшет + клавиатура + мышь + OTG. Выделена бирюзовым как неосновное устройство</t>
        </is>
      </c>
      <c r="E34" s="49" t="n"/>
    </row>
    <row r="35">
      <c r="A35" s="50" t="inlineStr">
        <is>
          <t>18:06</t>
        </is>
      </c>
      <c r="B35" s="31" t="inlineStr">
        <is>
          <t>POCO Pad M1 (дело № 16)</t>
        </is>
      </c>
      <c r="C35" s="31" t="inlineStr">
        <is>
          <t>38 723 ₽ — цена заказа</t>
        </is>
      </c>
      <c r="D35" s="31" t="inlineStr">
        <is>
          <t>34 614 ₽ — владелец нашёл дешевле; цена заказа обновлена. Экономия: 4 109 ₽</t>
        </is>
      </c>
    </row>
    <row r="36">
      <c r="A36" s="48" t="inlineStr">
        <is>
          <t>11:40</t>
        </is>
      </c>
      <c r="B36" s="17" t="inlineStr">
        <is>
          <t>BQ 2430L Tank Connect (дело № 15)</t>
        </is>
      </c>
      <c r="C36" s="17" t="inlineStr">
        <is>
          <t>В пути</t>
        </is>
      </c>
      <c r="D36" s="17" t="inlineStr">
        <is>
          <t>27.09.2026, Ильинка: BQ отменён в пользу Xiaomi Pad 7 (дело № 17). Запись перечёркнута</t>
        </is>
      </c>
      <c r="E36" s="49" t="n"/>
    </row>
    <row r="37">
      <c r="A37" s="50" t="inlineStr">
        <is>
          <t>11:42</t>
        </is>
      </c>
      <c r="B37" s="31" t="inlineStr">
        <is>
          <t>POCO Pad M1 (дело № 16)</t>
        </is>
      </c>
      <c r="C37" s="31" t="inlineStr">
        <is>
          <t>В пути — Архивариус</t>
        </is>
      </c>
      <c r="D37" s="31" t="inlineStr">
        <is>
          <t>27.09.2026, Ильинка: нашёл планшет лучше — Xiaomi Pad 7 (дело № 17). Заказ отменён до получения; средства возвращаются на WB Кошелёк. Дело закрыто без выдачи устройства</t>
        </is>
      </c>
    </row>
    <row r="38">
      <c r="A38" s="48" t="inlineStr">
        <is>
          <t>11:45</t>
        </is>
      </c>
      <c r="B38" s="17" t="inlineStr">
        <is>
          <t>Новая запись</t>
        </is>
      </c>
      <c r="C38" s="17" t="inlineStr">
        <is>
          <t>—</t>
        </is>
      </c>
      <c r="D38" s="17" t="inlineStr">
        <is>
          <t>27.09.2026, Ильинка: добавлено дело № 17 — Xiaomi Pad 7, планшет, Snapdragon 7+ Gen 3, 12/256 ГБ (UFS 4.0, LPDDR5X), Blue, WB, статус не присвоен. Первое стационарное устройство Xiaomi. Двойное основное устройство сохраняется: F9 Ultra (мобильное) + Pad 7 (стационарное, ожидается)</t>
        </is>
      </c>
      <c r="E38" s="49" t="n"/>
    </row>
    <row r="39">
      <c r="A39" s="50" t="inlineStr">
        <is>
          <t>11:47</t>
        </is>
      </c>
      <c r="B39" s="31" t="inlineStr">
        <is>
          <t>Подтехники (дела № 16.1–16.3)</t>
        </is>
      </c>
      <c r="C39" s="31" t="inlineStr">
        <is>
          <t>приданное Pad M1</t>
        </is>
      </c>
      <c r="D39" s="31" t="inlineStr">
        <is>
          <t>приданное переоформлено на Pad 7; бирюзовое оформление (пунктирная рамка и подсветка) сохранено без изменений, статус «Подтехника — доп. прилагаемое» не менялся</t>
        </is>
      </c>
    </row>
    <row r="40">
      <c r="A40" s="48" t="inlineStr">
        <is>
          <t>05:40</t>
        </is>
      </c>
      <c r="B40" s="17" t="inlineStr">
        <is>
          <t>POCO Pad M1 (дело № 16)</t>
        </is>
      </c>
      <c r="C40" s="17" t="inlineStr">
        <is>
          <t>Возврат на WB Кошелёк</t>
        </is>
      </c>
      <c r="D40" s="17" t="inlineStr">
        <is>
          <t>28.09.2026, Ильинка: возврат 34 614 ₽ получен на карту ВТБ. Дело закрыто окончательно. Устройство никогда не было на руках</t>
        </is>
      </c>
      <c r="E40" s="49" t="n"/>
    </row>
    <row r="41">
      <c r="A41" s="50" t="inlineStr">
        <is>
          <t>05:42</t>
        </is>
      </c>
      <c r="B41" s="31" t="inlineStr">
        <is>
          <t>POCO Pad X1 (внереестровый)</t>
        </is>
      </c>
      <c r="C41" s="31" t="inlineStr">
        <is>
          <t>—</t>
        </is>
      </c>
      <c r="D41" s="31" t="inlineStr">
        <is>
          <t>28.09.2026, Ильинка: POCO Pad X1 8/512 ГБ заказан 27.09 поздним вечером (~36 596 ₽, WB). Решено не выкупать — отзывы о «не включается 4 часа» + осознание условий зарядки от генератора. Дело закрыто без выдачи устройства. В реестр не внесён</t>
        </is>
      </c>
    </row>
    <row r="42">
      <c r="A42" s="48" t="inlineStr">
        <is>
          <t>05:45</t>
        </is>
      </c>
      <c r="B42" s="17" t="inlineStr">
        <is>
          <t>Xiaomi Pad 7 (дело № 17)</t>
        </is>
      </c>
      <c r="C42" s="17" t="inlineStr">
        <is>
          <t>Статус не присвоен</t>
        </is>
      </c>
      <c r="D42" s="17" t="inlineStr">
        <is>
          <t>28.09.2026, Ильинка: ЗАКРЫТО. «Условия не позволяют обеспечить им достойную мощность». Основная зарядка от генератора, планшет требует до 4 ч непрерывной зарядки от розетки. Планшетная ветка свёрнута. Возврат к теме — 2030. Двойное основное устройство упразднено</t>
        </is>
      </c>
      <c r="E42" s="49" t="n"/>
    </row>
    <row r="43">
      <c r="A43" s="50" t="inlineStr">
        <is>
          <t>05:47</t>
        </is>
      </c>
      <c r="B43" s="31" t="inlineStr">
        <is>
          <t>Подтехники (дела № 16.1–16.3)</t>
        </is>
      </c>
      <c r="C43" s="31" t="inlineStr">
        <is>
          <t>Подтехника — доп. прилагаемое</t>
        </is>
      </c>
      <c r="D43" s="31" t="inlineStr">
        <is>
          <t>28.09.2026, Ильинка: ЗАКРЫТО. Все три устройства (клавиатура, мышь, OTG) никогда не были на руках — весь цикл в статусе «Оформлен, сборка, в пути». Планшетная ветка свёрнута, переоформление невозможно — нет носителя. Бирюзовое оформление сохранено как историческое</t>
        </is>
      </c>
    </row>
    <row r="44">
      <c r="A44" s="48" t="inlineStr">
        <is>
          <t>05:49</t>
        </is>
      </c>
      <c r="B44" s="17" t="inlineStr">
        <is>
          <t>Двойное основное устройство</t>
        </is>
      </c>
      <c r="C44" s="17" t="inlineStr">
        <is>
          <t>F9 Ultra (мобильное) + Pad 7 (стационарное)</t>
        </is>
      </c>
      <c r="D44" s="17" t="inlineStr">
        <is>
          <t>28.09.2026, Ильинка: упразднено. Основное устройство в семье теперь одно — Infinix Hot 30 Play (дело № 8). Весь процесс показал: не нужно лишний раз мудрить, всему своё время</t>
        </is>
      </c>
      <c r="E44" s="49" t="n"/>
    </row>
    <row r="45">
      <c r="A45" s="50" t="inlineStr">
        <is>
          <t>06:15</t>
        </is>
      </c>
      <c r="B45" s="31" t="inlineStr">
        <is>
          <t>Новая запись (подтехника)</t>
        </is>
      </c>
      <c r="C45" s="31" t="inlineStr">
        <is>
          <t>—</t>
        </is>
      </c>
      <c r="D45" s="31" t="inlineStr">
        <is>
          <t>28.09.2026, Ильинка: добавлено дело № 14.1 — HOCO X50, кабель Type-C → Type-C 5 А / 100 Вт (2026, 382 ₽, WB). Первая подтехника Короля — приданное F9 Ultra. Выделена бирюзовым как неосновное устройство</t>
        </is>
      </c>
    </row>
    <row r="46">
      <c r="A46" s="48" t="inlineStr">
        <is>
          <t>10:36</t>
        </is>
      </c>
      <c r="B46" s="17" t="inlineStr">
        <is>
          <t>Новая запись (подтехника)</t>
        </is>
      </c>
      <c r="C46" s="17" t="inlineStr">
        <is>
          <t>—</t>
        </is>
      </c>
      <c r="D46" s="17" t="inlineStr">
        <is>
          <t>28.09.2026, Ильинка: добавлено дело № 14.2 — Xiaomi 120W HyperCharge, фирменное сетевое зарядное устройство (2026, 4 575 ₽, WB). Вторая подтехника Короля: блок + кабель X50 = полный комплект быстрой зарядки. Выделена бирюзовым как неосновное устройство</t>
        </is>
      </c>
      <c r="E46" s="49" t="n"/>
    </row>
    <row r="47">
      <c r="A47" s="50" t="inlineStr">
        <is>
          <t>16:57</t>
        </is>
      </c>
      <c r="B47" s="31" t="inlineStr">
        <is>
          <t>Новая запись (альтернативная ветка)</t>
        </is>
      </c>
      <c r="C47" s="31" t="inlineStr">
        <is>
          <t>—</t>
        </is>
      </c>
      <c r="D47" s="31" t="inlineStr">
        <is>
          <t>28.09.2026, Ильинка: добавлено дело № 14A — OnePlus 15 (CPH2749), альтернативная ветка к Королю (№ 14). Тот же Snapdragon 8 Elite Gen 5, 12/256 ГБ, 94 761 ₽, WB. Не заказан — резервный сценарий на случай ухода F9 Ultra. Оформлено фиолетовым пунктиром как гипотетический вариант. Счётчик записей не увеличивает</t>
        </is>
      </c>
    </row>
    <row r="48">
      <c r="A48" s="48" t="inlineStr">
        <is>
          <t>18:17</t>
        </is>
      </c>
      <c r="B48" s="17" t="inlineStr">
        <is>
          <t>Новая запись</t>
        </is>
      </c>
      <c r="C48" s="17" t="inlineStr">
        <is>
          <t>—</t>
        </is>
      </c>
      <c r="D48" s="17" t="inlineStr">
        <is>
          <t>28.09.2026, Ильинка: добавлено дело № 18 — Philips Xenium X175, кнопочный мобильный телефон (2026, 2 590 ₽, WB). Статус: в пути. Брат-резерв к Nokia 6300 (№ 12), наследник отменённого BQ Tank (№ 15)</t>
        </is>
      </c>
      <c r="E48" s="49" t="n"/>
    </row>
    <row r="49">
      <c r="A49" s="50" t="inlineStr">
        <is>
          <t>18:17</t>
        </is>
      </c>
      <c r="B49" s="31" t="inlineStr">
        <is>
          <t>Дела № 15–17, 16.1–16.3</t>
        </is>
      </c>
      <c r="C49" s="31" t="inlineStr">
        <is>
          <t>Статусы без перечёркивания</t>
        </is>
      </c>
      <c r="D49" s="31" t="inlineStr">
        <is>
          <t>28.09.2026, Ильинка: перечёркнуты личные дела закрытых планшетов и подтехник (№ 15 BQ Tank, № 16 POCO Pad M1, № 16.1 GEMBIRD, № 16.2 Redragon, № 16.3 WALKER, № 17 Xiaomi Pad 7). Добавлено затемнение (opacity 0.5) к карточкам. Реестр уже имел class="gone" для строк 15, 16, 16.1–16.3; для строки 17 class="gone" добавлен</t>
        </is>
      </c>
    </row>
    <row r="50">
      <c r="A50" s="48" t="inlineStr">
        <is>
          <t>19:54</t>
        </is>
      </c>
      <c r="B50" s="17" t="inlineStr">
        <is>
          <t>Infinix Hot 11 (дело № 5)</t>
        </is>
      </c>
      <c r="C50" s="17" t="inlineStr">
        <is>
          <t>—</t>
        </is>
      </c>
      <c r="D50" s="17" t="inlineStr">
        <is>
          <t>28.09.2026, Ильинка: добавлена таблица «Археологический разбор» — компоненты Infinix Hot 11 отнесены к эпохам флагмана. Порт и зарядка — палеолит (до 2014), процессор — доисторическая эра (2013–2014), ОЗУ — древний мир (2015–2016), eMMC 5.1 и экран — средневековье (2015–2019), камера 50 МП — возрождение (2020–2021), батарея — будущее. Вердикт: «Франкенштейн предыдущего поколения», мастер Йода постарше</t>
        </is>
      </c>
      <c r="E50" s="49" t="n"/>
    </row>
    <row r="51">
      <c r="A51" s="50" t="inlineStr">
        <is>
          <t>19:54</t>
        </is>
      </c>
      <c r="B51" s="31" t="inlineStr">
        <is>
          <t>Infinix Hot 30 Play (дело № 8)</t>
        </is>
      </c>
      <c r="C51" s="31" t="inlineStr">
        <is>
          <t>—</t>
        </is>
      </c>
      <c r="D51" s="31" t="inlineStr">
        <is>
          <t>28.09.2026, Ильинка: добавлена таблица «Археологический разбор» — компоненты Infinix Hot 30 Play отнесены к эпохам флагмана. Процессор — доисторическая эра (2013–2014), ОЗУ и экран — средневековье (2016–2019), eMMC 5.1 — средневековье (2015, флагманы ушли на UFS в 2015-м), батарея — будущее (никогда не была флагманом). Вердикт: «Франкенштейн» из запчасток разных эпох, мастер Йода. Добавлен eMMC 5.1 — память из 2015 года, застрявшая в Infinix на 8 лет дольше нормы</t>
        </is>
      </c>
    </row>
    <row r="52">
      <c r="A52" s="48" t="inlineStr">
        <is>
          <t>14:46</t>
        </is>
      </c>
      <c r="B52" s="17" t="inlineStr">
        <is>
          <t>Новая запись</t>
        </is>
      </c>
      <c r="C52" s="17" t="inlineStr">
        <is>
          <t>—</t>
        </is>
      </c>
      <c r="D52" s="17" t="inlineStr">
        <is>
          <t>29.09.2026, Симферополь: добавлено дело № 19 — Redmi Note 13 5G, смартфон, MediaTek Dimensity 6080, 12/256 ГБ (UFS 2.2), Black, 15 473 ₽, WB. Статус: в пути. Запасной рыцарь при Короле (№ 14). Первый Redmi в фонде. Скачок эпох: A53→A76, eMMC→UFS 2.2, IPS→AMOLED, 16 МП→108 МП, 18 Вт→33 Вт, моно→стерео. Замена Infinix Hot 30 Play (№ 8) в роли запасного. Счётчик записей: 29→30</t>
        </is>
      </c>
      <c r="E52" s="49" t="n"/>
    </row>
    <row r="53">
      <c r="A53" s="50" t="inlineStr">
        <is>
          <t>09:35</t>
        </is>
      </c>
      <c r="B53" s="31" t="inlineStr">
        <is>
          <t>Новая запись</t>
        </is>
      </c>
      <c r="C53" s="31" t="inlineStr">
        <is>
          <t>—</t>
        </is>
      </c>
      <c r="D53" s="31" t="inlineStr">
        <is>
          <t>30.09.2026, Симферополь: добавлено дело № 20 — Infinix GT 30 Pro, игровой смартфон, MediaTek Dimensity 8350 Ultimate (4 нм), 12/256 ГБ (LPDDR5X, UFS 4.0), Dark Flare, 35 969 ₽, WB (каталог 890339441). Статус: в пути. Первый игровой смартфон в фонде. Первый Infinix без единого доисторического компонента — эволюция Infinix в фонде завершена: палеолит (Hot 11) → средневековье (Hot 30 Play) → современность (GT 30 Pro). Скачок эпох: A53→A715, eMMC→UFS 4.0, IPS→AMOLED, 18 Вт→45 Вт + 30 Вт беспроводная, моно→стерео, нет охлаждения→3D Vapor Chamber 5400 мм². AnTuTu: ~170k→~1,3–1,75 млн (в 7–10 раз). GT-триггеры, LED-подсветка, bypass-зарядка, XBoost, IP64. Счётчик записей: 30→31</t>
        </is>
      </c>
    </row>
    <row r="54">
      <c r="A54" s="48" t="inlineStr">
        <is>
          <t>09:35</t>
        </is>
      </c>
      <c r="B54" s="17" t="inlineStr">
        <is>
          <t>Redmi Note 13 5G (дело № 19)</t>
        </is>
      </c>
      <c r="C54" s="17" t="inlineStr">
        <is>
          <t>В пути</t>
        </is>
      </c>
      <c r="D54" s="17" t="inlineStr">
        <is>
          <t>30.09.2026, Симферополь: ВЫЧЕРКНУТ. Продавец поставил мусор — заказ отменён. Дело перечёркнуто, class="gone" добавлен к строке реестра и личному делу. Запасной рыцарь при Короле — должность упразднена, передаётся GT 30 Pro (№ 20)</t>
        </is>
      </c>
      <c r="E54" s="49" t="n"/>
    </row>
    <row r="55">
      <c r="A55" s="50" t="inlineStr">
        <is>
          <t>09:35</t>
        </is>
      </c>
      <c r="B55" s="31" t="inlineStr">
        <is>
          <t>Infinix GT 30 Pro (дело № 20)</t>
        </is>
      </c>
      <c r="C55" s="31" t="inlineStr">
        <is>
          <t>—</t>
        </is>
      </c>
      <c r="D55" s="31" t="inlineStr">
        <is>
          <t>30.09.2026, Симферополь: добавлена таблица «Археологический разбор» — сравнение трёх поколений Infinix (Hot 11 → Hot 30 Play → GT 30 Pro). GT 30 Pro — первый Infinix в фонде, у которого каждый компонент из современности (2024–2025). Вердикт: «Эволюция завершена» — не Франкенштейн, а нормальный современный смартфон</t>
        </is>
      </c>
    </row>
    <row r="56">
      <c r="A56" s="48" t="inlineStr">
        <is>
          <t>08:52</t>
        </is>
      </c>
      <c r="B56" s="17" t="inlineStr">
        <is>
          <t>Xiaomi Pad 7 (дело № 17)</t>
        </is>
      </c>
      <c r="C56" s="17" t="inlineStr">
        <is>
          <t>opacity 0.5, без зачёркивания заголовка</t>
        </is>
      </c>
      <c r="D56" s="17" t="inlineStr">
        <is>
          <t>30.09.2026, Симферополь: перечёркнуто личное дело № 17 — Xiaomi Pad 7. Добавлен class="gone" и тег &lt;s&gt; к заголовку карточки. Карточка уже имела opacity 0.5, но заголовок не был зачёркнут. Непорядок исправлен</t>
        </is>
      </c>
      <c r="E56" s="49" t="n"/>
    </row>
    <row r="57">
      <c r="A57" s="50" t="inlineStr">
        <is>
          <t>08:52</t>
        </is>
      </c>
      <c r="B57" s="31" t="inlineStr">
        <is>
          <t>Infinix GT 30 Pro (дело № 20)</t>
        </is>
      </c>
      <c r="C57" s="31" t="inlineStr">
        <is>
          <t>Личное дело вне структуры HTML</t>
        </is>
      </c>
      <c r="D57" s="31" t="inlineStr">
        <is>
          <t>30.09.2026, Симферополь: личное дело № 20 переписано в киберпанк-стиле. Карточка перенесена из-за закрывающих тегов HTML в основное тело документа (перед archive-footer). Добавлено оранжевое оформление (border, glow), эмодзи-разделы (⚡), игровой арсенал развёрнут с описанием каждой фишки. Заголовок фото изменён на «Игровой смартфон», иконка —</t>
        </is>
      </c>
    </row>
    <row r="58">
      <c r="A58" s="48" t="inlineStr">
        <is>
          <t>09:16</t>
        </is>
      </c>
      <c r="B58" s="17" t="inlineStr">
        <is>
          <t>Все досье (№ 0a–20)</t>
        </is>
      </c>
      <c r="C58" s="17" t="inlineStr">
        <is>
          <t>Единый золотой цвет карточек</t>
        </is>
      </c>
      <c r="D58" s="17" t="inlineStr">
        <is>
          <t>30.09.2026, Симферополь: каждой карточке присвоен индивидуальный цвет рамки и шапки по цвету корпуса устройства. Синие — Samsung SGH-C130, BQ Strike; серебряные — Samsung E250, Nokia 6300 (×2); жёлтый — Galaxy Mini 2; золотой — BQ-5035 Velvet; чёрные — Lenovo A328, Xperia 1, Hot 30 Play, Soyes, POCO F9, Philips X175, Redmi; тёмно-сине-серый — Hot 11; голубой (Luna Blue) — Hot 20i; белый — P901; серебристая тень — S25+; оранжевый — iPhone 17 Pro Max; грозовой — Realme C75; графит — BQ Tank; серо-голубой — POCO Pad M1; синий — Xiaomi Pad 7. Подтехники сохраняют бирюзовый, альт. ветка — фиолетовый, GT 30 Pro — оранжевый киберпанк</t>
        </is>
      </c>
      <c r="E58" s="49" t="n"/>
    </row>
    <row r="59">
      <c r="A59" s="50" t="inlineStr">
        <is>
          <t>09:16</t>
        </is>
      </c>
      <c r="B59" s="31" t="inlineStr">
        <is>
          <t>Все досье (№ 0a–20)</t>
        </is>
      </c>
      <c r="C59" s="31" t="inlineStr">
        <is>
          <t>—</t>
        </is>
      </c>
      <c r="D59" s="31" t="inlineStr">
        <is>
          <t>30.09.2026, Симферополь: под каждое личное дело добавлен блок «Популярные телефоны эпохи» — список самых популярных и относительно популярных устройств того же времени, что и данное устройство. От Nokia N95 (2007) до ASUS ROG Phone 9 (2026). Подтехники — с перечнем аналогов по своему классу</t>
        </is>
      </c>
    </row>
    <row r="60">
      <c r="A60" s="48" t="inlineStr">
        <is>
          <t>09:16</t>
        </is>
      </c>
      <c r="B60" s="17" t="inlineStr">
        <is>
          <t>BQ-5035 Velvet (дело № 3)</t>
        </is>
      </c>
      <c r="C60" s="17" t="inlineStr">
        <is>
          <t>Отсутствует &lt;div class="card"&gt;</t>
        </is>
      </c>
      <c r="D60" s="17" t="inlineStr">
        <is>
          <t>30.09.2026, Симферополь: добавлена отсутствующая обёртка карточки для дела № 3. Карточка была без &lt;div class="card"&gt; — card-header шёл сразу после закрытия предыдущей карты</t>
        </is>
      </c>
      <c r="E60" s="49" t="n"/>
    </row>
    <row r="61">
      <c r="A61" s="50" t="inlineStr">
        <is>
          <t>09:16</t>
        </is>
      </c>
      <c r="B61" s="31" t="inlineStr">
        <is>
          <t>Sony Xperia 1 (дело № 2c)</t>
        </is>
      </c>
      <c r="C61" s="31" t="inlineStr">
        <is>
          <t>Двойная обёртка &lt;div class="card"&gt;</t>
        </is>
      </c>
      <c r="D61" s="31" t="inlineStr">
        <is>
          <t>30.09.2026, Симферополь: удалён дублирующий &lt;div class="card"&gt; в карточке дела № 2c. Было два вложенных тега — оставлен один</t>
        </is>
      </c>
    </row>
    <row r="62">
      <c r="A62" s="48" t="inlineStr">
        <is>
          <t>09:16</t>
        </is>
      </c>
      <c r="B62" s="17" t="inlineStr">
        <is>
          <t>Redmi Note 13 5G (дело № 19)</t>
        </is>
      </c>
      <c r="C62" s="17" t="inlineStr">
        <is>
          <t>Заголовок без зачёркивания</t>
        </is>
      </c>
      <c r="D62" s="17" t="inlineStr">
        <is>
          <t>30.09.2026, Симферополь: добавлен тег &lt;s&gt; к заголовку карточки дела № 19. Class="gone" был, но заголовок не был перечёркнут</t>
        </is>
      </c>
      <c r="E62" s="49" t="n"/>
    </row>
    <row r="63">
      <c r="A63" s="50" t="inlineStr">
        <is>
          <t>16:30</t>
        </is>
      </c>
      <c r="B63" s="31" t="inlineStr">
        <is>
          <t>P901 (дело № 7) — реестр</t>
        </is>
      </c>
      <c r="C63" s="31" t="inlineStr">
        <is>
          <t>Устройство: P901 · Память: 512 ГБ, ОЗУ 12 ГБ · Цена: дёшево · Источник: WB</t>
        </is>
      </c>
      <c r="D63" s="31" t="inlineStr">
        <is>
          <t>01.10.2026, Симферополь: устройство переименовано в «P901 (OPPO CPH1821EX)». Память: 512 ГБ (настоящие), ОЗУ 4 ГБ LPDDR4X (в прошивке — 12 ГБ, завышено). Цена: 6 818 ₽. Источник: Ozon (карточка продавалась под видом Honor 200). Заметки расширены: реальные характеристики, прошивка-обманка, настоящее имя через ВК</t>
        </is>
      </c>
    </row>
    <row r="64">
      <c r="A64" s="48" t="inlineStr">
        <is>
          <t>16:30</t>
        </is>
      </c>
      <c r="B64" s="17" t="inlineStr">
        <is>
          <t>P901 (дело № 7) — личное дело</t>
        </is>
      </c>
      <c r="C64" s="17" t="inlineStr">
        <is>
          <t>Устройство: P901 · Память: 512 ГБ, ОЗУ 12 ГБ · Цена: дёшево · Источник: WB · Популярные телефоны эпохи (2023)</t>
        </is>
      </c>
      <c r="D64" s="17" t="inlineStr">
        <is>
          <t>01.10.2026, Симферополь: личное дело обновлено. Добавлено настоящее имя (OPPO CPH1821EX, база Oppo F7), разделение заявленной и реальной памяти, цена 6 818 ₽, источник Ozon. Заметки расширены: полное описание контрафакта, реальные характеристики (Helio P60, Mali-G72 MP3, 4 ГБ LPDDR4X, 6,2" IPS), раскрытие через ВК. Популярные телефоны эпохи изменены на 2018 (год базы Oppo F7)</t>
        </is>
      </c>
      <c r="E64" s="49" t="n"/>
    </row>
    <row r="65">
      <c r="A65" s="50" t="inlineStr">
        <is>
          <t>16:30</t>
        </is>
      </c>
      <c r="B65" s="31" t="inlineStr">
        <is>
          <t>P901 (дело № 7) — археологический разбор</t>
        </is>
      </c>
      <c r="C65" s="31" t="inlineStr">
        <is>
          <t>—</t>
        </is>
      </c>
      <c r="D65" s="31" t="inlineStr">
        <is>
          <t>01.10.2026, Симферополь: добавлена таблица «Археологический разбор: Самозванец с чужим лицом». Компоненты P901 отнесены к эпохам: процессор и GPU (A73 + Mali-G72) — средневековье 2017, ОЗУ 4 ГБ LPDDR4X — 2016, накопитель 512 ГБ — будущее для бюджетника, батарея 6 000 мАч — будущее, ОС — средневековье 2018, сертификация — изгой (никогда). Вердикт: база Oppo F7 2018, прошивка-обманка, 512 ГБ и 6 000 мАч — аномалии</t>
        </is>
      </c>
    </row>
    <row r="66">
      <c r="A66" s="48" t="inlineStr">
        <is>
          <t>12:00</t>
        </is>
      </c>
      <c r="B66" s="17" t="inlineStr">
        <is>
          <t>POCO F9 Ultra (дело № 14) — реестр</t>
        </is>
      </c>
      <c r="C66" s="17" t="inlineStr">
        <is>
          <t>В пути — Король</t>
        </is>
      </c>
      <c r="D66" s="17" t="inlineStr">
        <is>
          <t>04.10.2026, Ильинка: статус изменён на « Король — Основной». Устройство получено 03.10.2026. Квест ПВЗ завершён</t>
        </is>
      </c>
      <c r="E66" s="49" t="n"/>
    </row>
    <row r="67">
      <c r="A67" s="50" t="inlineStr">
        <is>
          <t>12:00</t>
        </is>
      </c>
      <c r="B67" s="31" t="inlineStr">
        <is>
          <t>POCO F9 Ultra (дело № 14) — личное дело</t>
        </is>
      </c>
      <c r="C67" s="31" t="inlineStr">
        <is>
          <t>В пути — Король</t>
        </is>
      </c>
      <c r="D67" s="31" t="inlineStr">
        <is>
          <t>04.10.2026, Ильинка: статус изменён на « Король — Основной». Добавлена запись о получении 03.10.2026 и завершении квеста ПВЗ</t>
        </is>
      </c>
    </row>
    <row r="68">
      <c r="A68" s="48" t="inlineStr">
        <is>
          <t>12:00</t>
        </is>
      </c>
      <c r="B68" s="17" t="inlineStr">
        <is>
          <t>Infinix Hot 30 Play (дело № 8) — реестр</t>
        </is>
      </c>
      <c r="C68" s="17" t="inlineStr">
        <is>
          <t>Текущий основной</t>
        </is>
      </c>
      <c r="D68" s="17" t="inlineStr">
        <is>
          <t>04.10.2026, Ильинка: статус изменён на «️ Запасной рыцарь». Передал факел Королю после 3 лет на троне (2023–2026)</t>
        </is>
      </c>
      <c r="E68" s="49" t="n"/>
    </row>
    <row r="69">
      <c r="A69" s="50" t="inlineStr">
        <is>
          <t>12:00</t>
        </is>
      </c>
      <c r="B69" s="31" t="inlineStr">
        <is>
          <t>Infinix Hot 30 Play (дело № 8) — личное дело</t>
        </is>
      </c>
      <c r="C69" s="31" t="inlineStr">
        <is>
          <t>Текущий основной</t>
        </is>
      </c>
      <c r="D69" s="31" t="inlineStr">
        <is>
          <t>04.10.2026, Ильинка: статус изменён на «️ Запасной рыцарь». Добавлена запись о передаче факела Королю и уходе в запас</t>
        </is>
      </c>
    </row>
    <row r="70">
      <c r="A70" s="48" t="inlineStr">
        <is>
          <t>12:00</t>
        </is>
      </c>
      <c r="B70" s="17" t="inlineStr">
        <is>
          <t>OnePlus 15 (дело № 14A) — личное дело</t>
        </is>
      </c>
      <c r="C70" s="17" t="inlineStr">
        <is>
          <t>F9 Ultra в пути</t>
        </is>
      </c>
      <c r="D70" s="17" t="inlineStr">
        <is>
          <t>04.10.2026, Ильинка: обновлён текст — F9 Ultra получен 03.10.2026 и вступил на трон. Условие активации альтернативной ветки не изменилось</t>
        </is>
      </c>
      <c r="E70" s="49" t="n"/>
    </row>
    <row r="71">
      <c r="A71" s="50" t="inlineStr">
        <is>
          <t>12:00</t>
        </is>
      </c>
      <c r="B71" s="31" t="inlineStr">
        <is>
          <t>Infinix GT 30 Pro (дело № 20) — личное дело</t>
        </is>
      </c>
      <c r="C71" s="31" t="inlineStr">
        <is>
          <t>Преемник Hot 30 Play в роли основного</t>
        </is>
      </c>
      <c r="D71" s="31" t="inlineStr">
        <is>
          <t>04.10.2026, Ильинка: обновлён текст — преемник Hot 30 Play в роли запасного (т.к. основным стал F9 Ultra, а не GT 30 Pro)</t>
        </is>
      </c>
    </row>
    <row r="72">
      <c r="A72" s="48" t="inlineStr">
        <is>
          <t>14:46</t>
        </is>
      </c>
      <c r="B72" s="17" t="inlineStr">
        <is>
          <t>Новая запись</t>
        </is>
      </c>
      <c r="C72" s="17" t="inlineStr">
        <is>
          <t>—</t>
        </is>
      </c>
      <c r="D72" s="17" t="inlineStr">
        <is>
          <t>29.09.2026, Симферополь: добавлено дело № 19 — Redmi Note 13 5G, смартфон, MediaTek Dimensity 6080, 12/256 ГБ (UFS 2.2), Black, 15 473 ₽, WB. Статус: в пути. Запасной рыцарь при Короле (№ 14). Первый Redmi в фонде. Скачок эпох: A53→A76, eMMC→UFS 2.2, IPS→AMOLED, 16 МП→108 МП, 18 Вт→33 Вт, моно→стерео. Замена Infinix Hot 30 Play (№ 8) в роли запасного. Счётчик записей: 29→30</t>
        </is>
      </c>
      <c r="E72" s="49" t="n"/>
    </row>
    <row r="73">
      <c r="A73" s="50" t="inlineStr">
        <is>
          <t>19:55</t>
        </is>
      </c>
      <c r="B73" s="31" t="inlineStr">
        <is>
          <t>Реестр — новая строка</t>
        </is>
      </c>
      <c r="C73" s="31" t="inlineStr">
        <is>
          <t>—</t>
        </is>
      </c>
      <c r="D73" s="31" t="inlineStr">
        <is>
          <t>05.10.2026, Ильинка: добавлена строка № 6b — Honor X7c, 6,77" IPS 120 Гц, Snapdragon 685, 8/512 ГБ, Forest Green. Заполнен хронологический пробел между делом № 6 (Infinix Hot 12 Pro, октябрь 2025) и веткой 2026 года</t>
        </is>
      </c>
    </row>
    <row r="74">
      <c r="A74" s="48" t="inlineStr">
        <is>
          <t>19:55</t>
        </is>
      </c>
      <c r="B74" s="17" t="inlineStr">
        <is>
          <t>Honor X7c (дело № 6b) — личное дело</t>
        </is>
      </c>
      <c r="C74" s="17" t="inlineStr">
        <is>
          <t>—</t>
        </is>
      </c>
      <c r="D74" s="17" t="inlineStr">
        <is>
          <t>05.10.2026, Ильинка: добавлено личное дело № 6b. Первое дело в издании с живой фотографией владельца (коробка Forest Green) вместо рамки «Фото устройства»</t>
        </is>
      </c>
      <c r="E74" s="49" t="n"/>
    </row>
    <row r="75">
      <c r="A75" s="50" t="inlineStr">
        <is>
          <t>19:55</t>
        </is>
      </c>
      <c r="B75" s="31" t="inlineStr">
        <is>
          <t>Honor X7c (дело № 6b) — археологический разбор</t>
        </is>
      </c>
      <c r="C75" s="31" t="inlineStr">
        <is>
          <t>—</t>
        </is>
      </c>
      <c r="D75" s="31" t="inlineStr">
        <is>
          <t>05.10.2026, Ильинка: добавлен разбор «Честный середняк» — третий тип в фонде после Франкенштейна (№ 5, № 8) и Самозванца (№ 7): ни одной детали старше 2020 года, ни одной флагманской. Добавлено сравнение с Hot 30 Play (№ 8): единственная победа старче — батарея 6 000 против 5200 мАч</t>
        </is>
      </c>
    </row>
    <row r="76">
      <c r="A76" s="48" t="inlineStr">
        <is>
          <t>19:55</t>
        </is>
      </c>
      <c r="B76" s="17" t="inlineStr">
        <is>
          <t>Honor X7c (дело № 6b) — обстоятельства</t>
        </is>
      </c>
      <c r="C76" s="17" t="inlineStr">
        <is>
          <t>обменян у сослуживца (получен как бы бесплатно)</t>
        </is>
      </c>
      <c r="D76" s="17" t="inlineStr">
        <is>
          <t>05.10.2026, Ильинка: уточнено по факту — аппарат был куплен, и только потом по глупости отдан в обмен на более слабый. Обратный обмен отклонён. Цена покупки не зафиксирована и задним числом не восстанавливается</t>
        </is>
      </c>
      <c r="E76" s="49" t="n"/>
    </row>
    <row r="77">
      <c r="A77" s="50" t="inlineStr">
        <is>
          <t>19:55</t>
        </is>
      </c>
      <c r="B77" s="31" t="inlineStr">
        <is>
          <t>Правило фонда — бартер</t>
        </is>
      </c>
      <c r="C77" s="31" t="inlineStr">
        <is>
          <t>—</t>
        </is>
      </c>
      <c r="D77" s="31" t="inlineStr">
        <is>
          <t>05.10.2026, Ильинка: урок дела № 6b — у обмена нет кнопки «отменить»: покупка даёт чек, гарантию и право возврата, обмен — только совесть второй стороны. Практически это уже подтверждено делом № 14: Король куплен с проверкой на ПВЗ, а не получен по бартеру</t>
        </is>
      </c>
    </row>
    <row r="78">
      <c r="A78" s="48" t="inlineStr">
        <is>
          <t>19:56</t>
        </is>
      </c>
      <c r="B78" s="17" t="inlineStr">
        <is>
          <t>Оформление — палитра издания</t>
        </is>
      </c>
      <c r="C78" s="17" t="inlineStr">
        <is>
          <t>—</t>
        </is>
      </c>
      <c r="D78" s="17" t="inlineStr">
        <is>
          <t>05.10.2026, Ильинка: введён лесной зелёный #2f6b46 (рамка и шапка карточки № 6b) и новый класс бейджа .b-lost. До этого карточки шли от синего до оранжевого, зелёный в издании впервые</t>
        </is>
      </c>
      <c r="E78" s="49" t="n"/>
    </row>
    <row r="79">
      <c r="A79" s="50" t="inlineStr">
        <is>
          <t>19:57</t>
        </is>
      </c>
      <c r="B79" s="31" t="inlineStr">
        <is>
          <t>Техническая правка — тело файла</t>
        </is>
      </c>
      <c r="C79" s="31" t="inlineStr">
        <is>
          <t>запись 14:46 (дело № 19) лежала вне документа — выше тега &lt;!DOCTYPE html&gt;</t>
        </is>
      </c>
      <c r="D79" s="31" t="inlineStr">
        <is>
          <t>05.10.2026, Ильинка: запись возвращена в таблицу листа исправлений на своё место, содержимое не изменено. Разметка файла приведена к единому дереву</t>
        </is>
      </c>
    </row>
    <row r="80">
      <c r="A80" s="48" t="inlineStr">
        <is>
          <t>19:58</t>
        </is>
      </c>
      <c r="B80" s="17" t="inlineStr">
        <is>
          <t>Титул — счётчик записей</t>
        </is>
      </c>
      <c r="C80" s="17" t="inlineStr">
        <is>
          <t>31</t>
        </is>
      </c>
      <c r="D80" s="17" t="inlineStr">
        <is>
          <t>32 (охват 2007–2026, вкл. 5 подтехник, 1 альтернативная ветка)</t>
        </is>
      </c>
      <c r="E80" s="49" t="n"/>
    </row>
    <row r="81">
      <c r="A81" s="50" t="inlineStr">
        <is>
          <t>19:59</t>
        </is>
      </c>
      <c r="B81" s="31" t="inlineStr">
        <is>
          <t>Техническая правка — запись 08:52 (Xiaomi Pad 7)</t>
        </is>
      </c>
      <c r="C81" s="31" t="inlineStr">
        <is>
          <t>служебный тег &lt;s&gt; был написан открыто и не закрыт — браузер съедал его и зачёркивал половину строки</t>
        </is>
      </c>
      <c r="D81" s="31" t="inlineStr">
        <is>
          <t>05.10.2026, Ильинка: тег экранирован, теперь показан как текст и не влияет на вёрстку. Содержимое записи не изменено</t>
        </is>
      </c>
    </row>
    <row r="82">
      <c r="A82" s="48" t="inlineStr">
        <is>
          <t>20:00</t>
        </is>
      </c>
      <c r="B82" s="17" t="inlineStr">
        <is>
          <t>Техническая правка — вёрстка личных дел</t>
        </is>
      </c>
      <c r="C82" s="17" t="inlineStr">
        <is>
          <t>после карточек № 16.2 и № 16.3 стояло по лишнему &lt;/div&gt;: секция «Личные дела» закрывалась досрочно, дела № 16.3, 17, 18, 19, 20 рендерились вне контейнера — шире остальных карточек. Плюс закрывающий тег секции вообще отсутствовал перед колоном архива</t>
        </is>
      </c>
      <c r="D82" s="17" t="inlineStr">
        <is>
          <t>05.10.2026, Ильинка: два лишних закрывающих тега удалены, закрывающий тег секции поставлен на место — перед колоном архива. Все 33 карточки лежат в одном контейнере 800 px</t>
        </is>
      </c>
      <c r="E82" s="49" t="n"/>
    </row>
    <row r="83">
      <c r="A83" s="50" t="inlineStr">
        <is>
          <t>11:15</t>
        </is>
      </c>
      <c r="B83" s="31" t="inlineStr">
        <is>
          <t>Infinix GT 30 Pro (дело № 20) — реестр</t>
        </is>
      </c>
      <c r="C83" s="31" t="inlineStr">
        <is>
          <t>В пути</t>
        </is>
      </c>
      <c r="D83" s="31" t="inlineStr">
        <is>
          <t>15.10.2026, Ильинка: статус изменён на «⚔️ На службе». Устройство получено 10.10.2026 — в один день с Philips Xenium X175 (№ 18). Заводской стикер подтверждает характеристики: Dimensity 8350, 144 Гц AMOLED, триггеры, 256+12 ГБ</t>
        </is>
      </c>
    </row>
    <row r="84">
      <c r="A84" s="48" t="inlineStr">
        <is>
          <t>11:15</t>
        </is>
      </c>
      <c r="B84" s="17" t="inlineStr">
        <is>
          <t>Infinix GT 30 Pro (дело № 20) — личное дело</t>
        </is>
      </c>
      <c r="C84" s="17" t="inlineStr">
        <is>
          <t>В пути</t>
        </is>
      </c>
      <c r="D84" s="17" t="inlineStr">
        <is>
          <t>15.10.2026, Ильинка: статус изменён на «⚔️ На службе». Добавлена запись о получении: прибыл 10.10.2026 вместе с № 18, заводской стикер подтверждает комплектацию</t>
        </is>
      </c>
      <c r="E84" s="49" t="n"/>
    </row>
    <row r="85">
      <c r="A85" s="50" t="inlineStr">
        <is>
          <t>11:16</t>
        </is>
      </c>
      <c r="B85" s="31" t="inlineStr">
        <is>
          <t>Philips Xenium X175 (дело № 18) — реестр</t>
        </is>
      </c>
      <c r="C85" s="31" t="inlineStr">
        <is>
          <t>В пути</t>
        </is>
      </c>
      <c r="D85" s="31" t="inlineStr">
        <is>
          <t>15.10.2026, Ильинка: статус изменён на «⚔️ На службе — ожидает SIM». Получен 10.10.2026 — в один день с GT 30 Pro (№ 20). Включён: на экране 18:38, суббота 10.10.2026 — дата верна. SIM-карты не установлены</t>
        </is>
      </c>
    </row>
    <row r="86">
      <c r="A86" s="48" t="inlineStr">
        <is>
          <t>11:16</t>
        </is>
      </c>
      <c r="B86" s="17" t="inlineStr">
        <is>
          <t>Philips Xenium X175 (дело № 18) — личное дело</t>
        </is>
      </c>
      <c r="C86" s="17" t="inlineStr">
        <is>
          <t>В пути</t>
        </is>
      </c>
      <c r="D86" s="17" t="inlineStr">
        <is>
          <t>15.10.2026, Ильинка: статус изменён на «⚔️ На службе — ожидает SIM». Добавлена запись о получении: включён и показывает верную дату, ждёт SIM-карты</t>
        </is>
      </c>
      <c r="E86" s="49" t="n"/>
    </row>
    <row r="87">
      <c r="A87" s="50" t="inlineStr">
        <is>
          <t>14:10</t>
        </is>
      </c>
      <c r="B87" s="31" t="inlineStr">
        <is>
          <t>Infinix GT 30 Pro (дело № 20) — реестр</t>
        </is>
      </c>
      <c r="C87" s="31" t="inlineStr">
        <is>
          <t>⚔️ На службе</t>
        </is>
      </c>
      <c r="D87" s="31" t="inlineStr">
        <is>
          <t>15.10.2026, Ильинка: статус изменён на «️ Основной запасной — преемник Infinix Hot 30 Play». Меч хранится в ножнах до дня нужды: служба запасного при Короле (№ 14), не повседневный аппарат</t>
        </is>
      </c>
    </row>
    <row r="88">
      <c r="A88" s="48" t="inlineStr">
        <is>
          <t>14:11</t>
        </is>
      </c>
      <c r="B88" s="17" t="inlineStr">
        <is>
          <t>Infinix GT 30 Pro (дело № 20) — личное дело</t>
        </is>
      </c>
      <c r="C88" s="17" t="inlineStr">
        <is>
          <t>⚔️ На службе</t>
        </is>
      </c>
      <c r="D88" s="17" t="inlineStr">
        <is>
          <t>15.10.2026, Ильинка: статус изменён на «️ Основной запасной — преемник Infinix Hot 30 Play». Добавлена запись: меч в ножнах до дня нужды, линия преемственности Infinix замкнута (Hot 11 → Hot 30 Play → GT 30 Pro)</t>
        </is>
      </c>
      <c r="E88" s="49" t="n"/>
    </row>
    <row r="89">
      <c r="A89" s="50" t="inlineStr">
        <is>
          <t>14:12</t>
        </is>
      </c>
      <c r="B89" s="31" t="inlineStr">
        <is>
          <t>Philips Xenium X175 (дело № 18) — реестр и личное дело</t>
        </is>
      </c>
      <c r="C89" s="31" t="inlineStr">
        <is>
          <t>⚔️ На службе — ожидает SIM</t>
        </is>
      </c>
      <c r="D89" s="31" t="inlineStr">
        <is>
          <t>15.10.2026, Ильинка: статус изменён на « Запасной оператор связи на тяжёлые времена». Не повседневная звонилка, а резервная линия связи фонда на случай непредвиденного. SIM-карты по-прежнему не установлены</t>
        </is>
      </c>
    </row>
    <row r="90">
      <c r="A90" s="48" t="inlineStr">
        <is>
          <t>14:20</t>
        </is>
      </c>
      <c r="B90" s="17" t="inlineStr">
        <is>
          <t>Infinix Hot 30 Play (дело № 8) — реестр</t>
        </is>
      </c>
      <c r="C90" s="17" t="inlineStr">
        <is>
          <t>️ Запасной рыцарь</t>
        </is>
      </c>
      <c r="D90" s="17" t="inlineStr">
        <is>
          <t>15.10.2026, Ильинка: статус изменён на «️ Ветеран 2023 — 10.10.2026, ушёл на заслуженный отдых». Пост запасного при Короле передан преемнику — GT 30 Pro (№ 20). Первым в фонде ушёл на отдых не павшим, а ветераном</t>
        </is>
      </c>
      <c r="E90" s="49" t="n"/>
    </row>
    <row r="91">
      <c r="A91" s="50" t="inlineStr">
        <is>
          <t>14:21</t>
        </is>
      </c>
      <c r="B91" s="31" t="inlineStr">
        <is>
          <t>Infinix Hot 30 Play (дело № 8) — личное дело</t>
        </is>
      </c>
      <c r="C91" s="31" t="inlineStr">
        <is>
          <t>️ Запасной рыцарь</t>
        </is>
      </c>
      <c r="D91" s="31" t="inlineStr">
        <is>
          <t>15.10.2026, Ильинка: статус изменён на «️ Ветеран 2023 — 10.10.2026, ушёл на заслуженный отдых». Добавлена запись об отставке: служба 2023 — 10.10.2026, пост передан преемнику в день его прибытия</t>
        </is>
      </c>
    </row>
    <row r="92">
      <c r="A92" s="48" t="inlineStr">
        <is>
          <t>15:47</t>
        </is>
      </c>
      <c r="B92" s="17" t="inlineStr">
        <is>
          <t>Издание — оглавление и навигация</t>
        </is>
      </c>
      <c r="C92" s="17" t="inlineStr">
        <is>
          <t>Навигация по изданию отсутствует: только прокрутка</t>
        </is>
      </c>
      <c r="D92" s="17" t="inlineStr">
        <is>
          <t>15.10.2026, Ильинка: добавлено оглавление издания — якорные переходы к каждому из 33 личных дел и трём листам, кнопка возврата к оглавлению</t>
        </is>
      </c>
      <c r="E92" s="49" t="n"/>
    </row>
    <row r="93">
      <c r="A93" s="50" t="inlineStr">
        <is>
          <t>15:48</t>
        </is>
      </c>
      <c r="B93" s="31" t="inlineStr">
        <is>
          <t>Издание — ширина листов и названия</t>
        </is>
      </c>
      <c r="C93" s="31" t="inlineStr">
        <is>
          <t>Титульный лист 800 px, реестр 900 px; длинные наименования выезжали за грань на узком экране</t>
        </is>
      </c>
      <c r="D93" s="31" t="inlineStr">
        <is>
          <t>15.10.2026, Ильинка: листы расширены до 960 px, включён перенос длинных слов; в оглавлении длинные наименования скрыты за кнопкой «Показать полные названия»</t>
        </is>
      </c>
    </row>
    <row r="94">
      <c r="A94" s="48" t="inlineStr">
        <is>
          <t>16:24</t>
        </is>
      </c>
      <c r="B94" s="17" t="inlineStr">
        <is>
          <t>Вёрстка</t>
        </is>
      </c>
      <c r="C94" s="17" t="inlineStr">
        <is>
          <t>overflow-wrap: break-word; word-break: normal</t>
        </is>
      </c>
      <c r="D94" s="17" t="inlineStr">
        <is>
          <t>overflow-wrap: break-word; таблицам — прокрутка на мобильном</t>
        </is>
      </c>
      <c r="E94" s="17" t="inlineStr">
        <is>
          <t>Устранено сжатие колонок до одной буквы (скриншоты 15:55 и 16:17): свойство anywhere уменьшало минимальную ширину колонок таблиц. Заменено на break-word — слова переносятся только целиком, когда не влезают.</t>
        </is>
      </c>
    </row>
    <row r="95">
      <c r="A95" s="50" t="inlineStr">
        <is>
          <t>16:31</t>
        </is>
      </c>
      <c r="B95" s="31" t="inlineStr">
        <is>
          <t>Стили</t>
        </is>
      </c>
      <c r="C95" s="31" t="inlineStr">
        <is>
          <t>opacity: 0.5 (4 карточки), opacity: 0.85 (.card-id)</t>
        </is>
      </c>
      <c r="D95" s="31" t="inlineStr">
        <is>
          <t>все значения opacity изъяты из издания</t>
        </is>
      </c>
      <c r="E95" s="31" t="inlineStr">
        <is>
          <t>Приглушение снято полностью: реестр и карточки читаются полными чернилами. Статус «ушёл» передаётся только зачёркиванием.</t>
        </is>
      </c>
    </row>
    <row r="96">
      <c r="A96" s="48" t="inlineStr">
        <is>
          <t>16:56</t>
        </is>
      </c>
      <c r="B96" s="17" t="inlineStr">
        <is>
          <t>Модернизация</t>
        </is>
      </c>
      <c r="C96" s="17" t="inlineStr">
        <is>
          <t>поиск и фильтры отсутствуют</t>
        </is>
      </c>
      <c r="D96" s="17" t="inlineStr">
        <is>
          <t>поисково-фильтровальный комплекс</t>
        </is>
      </c>
      <c r="E96" s="17" t="inlineStr">
        <is>
          <t>Строка поиска (по названиям, скрытым расширениям и заметкам) + 8 фильтров статуса со счётчиком найденного. Работает на оглавлении и реестре одновременно.</t>
        </is>
      </c>
    </row>
    <row r="97">
      <c r="A97" s="50" t="inlineStr">
        <is>
          <t>17:20</t>
        </is>
      </c>
      <c r="B97" s="31" t="inlineStr">
        <is>
          <t>Модернизация II — сортировка реестра</t>
        </is>
      </c>
      <c r="C97" s="31" t="inlineStr">
        <is>
          <t>реестр — только хронологический порядок</t>
        </is>
      </c>
      <c r="D97" s="31" t="inlineStr">
        <is>
          <t>сортировка по 10 параметрам в обе стороны</t>
        </is>
      </c>
      <c r="E97" s="31" t="inlineStr">
        <is>
          <t>Параметры: № дела, год, цена, ПЗУ, ОЗУ, диагональ экрана, батарея, камера, частота процессора, мощность зарядки. Кнопка ↓/↑ меняет направление; старт по умолчанию — по убыванию (год — новее сверху, числа — больше сверху). Строки без данных уходят в конец списка. Сортировка не отменяет поиск и фильтры.</t>
        </is>
      </c>
    </row>
    <row r="98">
      <c r="A98" s="48" t="inlineStr">
        <is>
          <t>17:40</t>
        </is>
      </c>
      <c r="B98" s="17" t="inlineStr">
        <is>
          <t>Модель — опознание</t>
        </is>
      </c>
      <c r="C98" s="17" t="inlineStr">
        <is>
          <t>Infinix Hot 12 Pro (запись по внешнему сходству)</t>
        </is>
      </c>
      <c r="D98" s="17" t="inlineStr">
        <is>
          <t>Infinix Hot 20i (X665E)</t>
        </is>
      </c>
      <c r="E98" s="17" t="inlineStr">
        <is>
          <t>Истина установлена через GT 30 Pro (№ 20, раздел «Связанные устройства») и сверку спецификаций (4PDA, iXBT, DNS). Модели внешне схожи — одинаковый экран 6,6" (1612×720) — но железо иное: Helio G25 вместо Tiger T616, камера 13 МП вместо 50, micro-USB и 10 Вт вместо USB-C и 18 Вт, без NFC. Цвет переименован в Luna Blue (официальное название), добавлен год модели — 2022. Счётчик записей: 32→34</t>
        </is>
      </c>
    </row>
    <row r="99">
      <c r="A99" s="50" t="inlineStr">
        <is>
          <t>17:57</t>
        </is>
      </c>
      <c r="B99" s="31" t="inlineStr">
        <is>
          <t>Дело № 6 — археологический разбор</t>
        </is>
      </c>
      <c r="C99" s="31" t="inlineStr">
        <is>
          <t>—</t>
        </is>
      </c>
      <c r="D99" s="31" t="inlineStr">
        <is>
          <t>разбор «Палеолит под чужим именем»</t>
        </is>
      </c>
      <c r="E99" s="31" t="inlineStr">
        <is>
          <t>10 компонентов расставлены по эпохам: порт, зарядка и NFC — палеолит; Helio G25 и камера 13 МП — доисторическая эра; экран 60 Гц — средневековье; ОЗУ и накопитель — древний мир и позднее средневековье (до выяснения точной конфигурации); Android 12 и батарея 5 000 мАч — вне подозрений.</t>
        </is>
      </c>
    </row>
    <row r="100">
      <c r="A100" s="0" t="inlineStr">
        <is>
          <t>16.10.2026</t>
        </is>
      </c>
      <c r="B100" s="0" t="inlineStr">
        <is>
          <t>Реестр, № 15, № 16, 14.1, 14.2, 16.1–16.3</t>
        </is>
      </c>
      <c r="C100" s="0" t="inlineStr">
        <is>
          <t>№ 15, № 16 — «В пути»; подтехники — 5, категория «Подтехники»</t>
        </is>
      </c>
      <c r="D100" s="0" t="inlineStr">
        <is>
          <t>«Отказ владельца» (7 записей), категория «Ушли и прочие»; подтехники — 1 (№ 14.3 повербанк); «В пути» упразднена (0)</t>
        </is>
      </c>
      <c r="E100" s="0" t="inlineStr">
        <is>
          <t>Владелец подтвердил отказы 16.10.2026; заказы № 15/№ 16 отменены ещё 27–28.09.2026 (средства возвращены на WB Кошелёк — см. заметки дел). Сумма покупок фонда: 729 034 → 680 397 ₽.</t>
        </is>
      </c>
    </row>
    <row r="101">
      <c r="A101" s="0" t="inlineStr">
        <is>
          <t>16.10.2026</t>
        </is>
      </c>
      <c r="B101" s="0" t="inlineStr">
        <is>
          <t>Реестр, № 14.3 (повербанк)</t>
        </is>
      </c>
      <c r="C101" s="0" t="inlineStr">
        <is>
          <t>Цена не зафиксирована; в предыдущей выдаче ошибочно фигурировала «4000+»</t>
        </is>
      </c>
      <c r="D101" s="0" t="inlineStr">
        <is>
          <t>17 963 ₽</t>
        </is>
      </c>
      <c r="E101" s="0" t="inlineStr">
        <is>
          <t>Цена подтверждена владельцем 16.10.2026. Сумма покупок фонда пересчитана живой формулой: 680 397 → 698 360 ₽ (ранее ошибочно указывалось 694 360 — арифметика исправлена).</t>
        </is>
      </c>
    </row>
    <row r="102">
      <c r="A102" s="0" t="inlineStr">
        <is>
          <t>16.10.2026 11:30</t>
        </is>
      </c>
      <c r="B102" s="0" t="inlineStr">
        <is>
          <t>Фонд целиком (v4.1)</t>
        </is>
      </c>
      <c r="C102" s="0" t="inlineStr">
        <is>
          <t>Мобильная редакция: умная таблица + Флаг, карточки и вертикальные рекордсмены в Статистике, заголовку задана высота (антитонущий), графики с явно вписанными подписями (против мобильного «Вече»), обложка пересобрана, CJK-символы вычищены</t>
        </is>
      </c>
    </row>
    <row r="103">
      <c r="A103" s="0" t="inlineStr">
        <is>
          <t>16.10.2026 11:35</t>
        </is>
      </c>
      <c r="B103" s="0" t="inlineStr">
        <is>
          <t>Вкладка Графики</t>
        </is>
      </c>
      <c r="C103" s="0" t="inlineStr">
        <is>
          <t>Три чертежа с явными подписями (v4.2)</t>
        </is>
      </c>
      <c r="D103" s="0" t="inlineStr">
        <is>
          <t>Исправлен namespace a: в chartSpace; мобильный рендер всё равно захлебнулся</t>
        </is>
      </c>
      <c r="E103" s="0" t="inlineStr"/>
    </row>
    <row r="104">
      <c r="A104" s="0" t="inlineStr">
        <is>
          <t>16.10.2026 11:45</t>
        </is>
      </c>
      <c r="B104" s="0" t="inlineStr">
        <is>
          <t>Вкладка Графики</t>
        </is>
      </c>
      <c r="C104" s="0" t="inlineStr">
        <is>
          <t>Чертежи (DrawingML) — несовместимы с мобильным рендером</t>
        </is>
      </c>
      <c r="D104" s="0" t="inlineStr">
        <is>
          <t>Вкладка упразднена: заменена текст-графиками REPT на Статистике (v4.3)</t>
        </is>
      </c>
      <c r="E104" s="0" t="inlineStr"/>
    </row>
    <row r="105">
      <c r="A105" s="0" t="inlineStr">
        <is>
          <t>16.10.2026 17:50</t>
        </is>
      </c>
      <c r="B105" s="0" t="inlineStr">
        <is>
          <t>Sony Xperia Z1 (дело № 2c)</t>
        </is>
      </c>
      <c r="C105" s="0" t="inlineStr">
        <is>
          <t>Опознание: Sony Xperia 1 (J9110), 2018–2019</t>
        </is>
      </c>
      <c r="D105" s="0" t="inlineStr">
        <is>
          <t>Переприписка по памяти владельца: Sony Xperia Z1 (C6903), модель 2013 года (OmniBalance, кнопка спуска, заглушки IP55/IP58), приход 2018 подтверждён — задолго до выпуска J9110 (2019). Цена покупки снята: дар (вероятно, от отца); справочно старт 2013 — ~29 990 ₽. Восстановление: 3 000–8 000 ₽. В график батарей добавлена строка 2013 · 3 000 мАч. История прежних записей нетронута (v4.4)</t>
        </is>
      </c>
    </row>
    <row r="106">
      <c r="A106" s="0" t="inlineStr">
        <is>
          <t>16.10.2026 20:35</t>
        </is>
      </c>
      <c r="B106" s="0" t="inlineStr">
        <is>
          <t>Soyes F8 Pro Max (дело № 11)</t>
        </is>
      </c>
      <c r="C106" s="0" t="inlineStr">
        <is>
          <t>Написание «Seyes» по всему фонду</t>
        </is>
      </c>
      <c r="D106" s="0" t="inlineStr">
        <is>
          <t>Амнистия имён: повсеместная замена на «Soyes» — исторически верное написание бренда (карточка товара оригинала). Замена выполнена в презентации (v25.1), издании и настоящем реестре, включая исторические записи. В настоящей записи прежнее написание сохранено намеренно</t>
        </is>
      </c>
      <c r="E106" s="0" t="n"/>
    </row>
    <row r="107">
      <c r="A107" s="0" t="inlineStr">
        <is>
          <t>16.10.2026 20:50</t>
        </is>
      </c>
      <c r="B107" s="0" t="inlineStr">
        <is>
          <t>TeXet TM-130 (дело № 21)</t>
        </is>
      </c>
      <c r="C107" s="0" t="inlineStr">
        <is>
          <t>Новый приход</t>
        </is>
      </c>
      <c r="D107" s="0" t="inlineStr">
        <is>
          <t>Приход № 21: TeXet TM-130, кнопочный, 800 ₽, «Эльдорадо», Керчь, июль 2025. Статус: на службе (в другом городе). Диптих «перед/задник», источник фото — автор. Внесён во все три носителя (v25.2 / v4.6 / издание).</t>
        </is>
      </c>
      <c r="E107" s="0" t="inlineStr"/>
    </row>
    <row r="108">
      <c r="A108" s="0" t="inlineStr">
        <is>
          <t>16.10.2026 23:05</t>
        </is>
      </c>
      <c r="B108" s="0" t="inlineStr">
        <is>
          <t>Статистика · Хронология (v4.7)</t>
        </is>
      </c>
      <c r="C108" s="0" t="inlineStr">
        <is>
          <t>График батарей: 22 строки — без TeXet (2019); подписи — только год; Хронология 2025 — без № 21</t>
        </is>
      </c>
      <c r="D108" s="0" t="inlineStr">
        <is>
          <t>График батарей пересобран из реестра: 23 строки, добавлен TeXet TM-130 (2019 · 600 мАч); подписи — формат «год · устройство» формулой; Хронология 2025 дополнена: № 21 · TeXet TM-130 (приход 07.2025). Проверено: Флаг отказных — живая формула (искажений нет)</t>
        </is>
      </c>
    </row>
    <row r="109">
      <c r="A109" s="0" t="inlineStr">
        <is>
          <t>17.10.2026 05:56</t>
        </is>
      </c>
      <c r="B109" s="0" t="inlineStr">
        <is>
          <t>Ночная ревизия (издание + реестр)</t>
        </is>
      </c>
      <c r="C109" s="0" t="inlineStr">
        <is>
          <t>№ 17 «Статус не присвоен»; ночные corr-записи без дат; огрызки эмодзи в статусах № 8/№ 20; ПЗУ/ОЗУ 0a/0b/0c в долях ГБ</t>
        </is>
      </c>
      <c r="D109" s="0" t="inlineStr">
        <is>
          <t>№ 17 → ЗАКРЫТО (corr 05:45: дело закрыто 28.09 — «условия не позволяют обеспечить мощность»); corr-записи издания датированы 17.10.2026; огрызки U+FE0F удалены; память: 0a «2 МБ», 0b «10/16 МБ», 0c «7,8 МБ»</t>
        </is>
      </c>
    </row>
    <row r="110">
      <c r="A110" s="0" t="inlineStr">
        <is>
          <t>17.10.2026 05:58</t>
        </is>
      </c>
      <c r="B110" s="0" t="inlineStr">
        <is>
          <t>Xiaomi 120W HyperCharge (дело № 14.2)</t>
        </is>
      </c>
      <c r="C110" s="0" t="inlineStr">
        <is>
          <t>Подтехника · статус «Отказ владельца»</t>
        </is>
      </c>
      <c r="D110" s="0" t="inlineStr">
        <is>
          <t>ОТМЕНЁН владельцем: блок HyperCharge уже в комплекте POCO F9 Ultra, питание закрыто повербанком 212 Вт (№ 14.3). Зачёркнут во всех носителях. Сумма фонда без изменений — исключён из неё как отказной с 16.10</t>
        </is>
      </c>
    </row>
    <row r="111">
      <c r="A111" s="0" t="inlineStr">
        <is>
          <t>17.10.2026 06:06</t>
        </is>
      </c>
      <c r="B111" s="0" t="inlineStr">
        <is>
          <t>HOCO X50 (дело № 14.1)</t>
        </is>
      </c>
      <c r="C111" s="0" t="inlineStr">
        <is>
          <t>Подтехника · статус «Отказ владельца»</t>
        </is>
      </c>
      <c r="D111" s="0" t="inlineStr">
        <is>
          <t>ОТМЕНЁН владельцем: кабель дублирует комплектный Type-C→Type-C 100 Вт POCO F9 Ultra. Зачёркнут во всех носителях. Сумма фонда без изменений — исключён из неё как отказной с 16.10</t>
        </is>
      </c>
    </row>
    <row r="112">
      <c r="A112" s="0" t="inlineStr">
        <is>
          <t>17.10.2026 06:15</t>
        </is>
      </c>
      <c r="B112" s="0" t="inlineStr">
        <is>
          <t>Excel v4.7 → v4.8</t>
        </is>
      </c>
      <c r="C112" s="0" t="inlineStr">
        <is>
          <t>Консолидация ночных правок</t>
        </is>
      </c>
      <c r="D112" s="0" t="inlineStr">
        <is>
          <t>Внесены: отмена № 14.1/14.2 (статус «Отменён — отказ владельца», шрифт зачёркнут), № 17 → ЗАКРЫТО, огрызки эмодзи удалены, МБ-хвосты заменены. Формулы статистики (100 шт., поиск «Отказ владельца») сохранены живыми — составной статус не ломает счётчики: экспонатов 28, отказных 7</t>
        </is>
      </c>
    </row>
    <row r="113">
      <c r="A113" s="0" t="inlineStr">
        <is>
          <t>17.10.2026 · 06:32</t>
        </is>
      </c>
      <c r="B113" s="0" t="inlineStr">
        <is>
          <t>Все носители</t>
        </is>
      </c>
      <c r="C113" s="0" t="inlineStr">
        <is>
          <t>—</t>
        </is>
      </c>
      <c r="D113" s="0" t="inlineStr">
        <is>
          <t>красная печать «ОТМЕНЁН»</t>
        </is>
      </c>
      <c r="E113" s="0" t="inlineStr">
        <is>
          <t>Диагональ во весь рост в реестре и личных делах издания (7+7), ровный штамп в оглавлении и атласе, красный флаг в Excel, штамп на слайде отказов ПВ38. Печать стоит на № 14.1, 14.2, 15, 16, 16.1–16.3.</t>
        </is>
      </c>
    </row>
    <row r="114">
      <c r="A114" s="0" t="inlineStr">
        <is>
          <t>17.10.2026 · 07:09</t>
        </is>
      </c>
      <c r="B114" s="0" t="inlineStr">
        <is>
          <t>Excel v4.8 · печать</t>
        </is>
      </c>
      <c r="C114" s="0" t="inlineStr">
        <is>
          <t>Флаг «ОТМЕНЁН» установлен для № 17 (Xiaomi Pad 7) и № 19 (Redmi Note 13 5G) — итого 9 штампов в колонке Флаг; статус № 17 «ЗАКРЫТО» сохранён</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
  <sheetViews>
    <sheetView showGridLines="0" topLeftCell="C1" workbookViewId="0">
      <pane ySplit="1" topLeftCell="A2" activePane="bottomLeft" state="frozen"/>
      <selection pane="bottomLeft" activeCell="D3" sqref="D3"/>
    </sheetView>
  </sheetViews>
  <sheetFormatPr baseColWidth="8" defaultColWidth="10" defaultRowHeight="15"/>
  <cols>
    <col width="8" customWidth="1" style="67" min="1" max="1"/>
    <col width="52" customWidth="1" style="67" min="2" max="2"/>
    <col width="18" customWidth="1" style="67" min="3" max="3"/>
    <col width="12" customWidth="1" style="67" min="4" max="4"/>
  </cols>
  <sheetData>
    <row r="1">
      <c r="A1" s="14" t="inlineStr">
        <is>
          <t>№</t>
        </is>
      </c>
      <c r="B1" s="14" t="inlineStr">
        <is>
          <t>Название дела</t>
        </is>
      </c>
      <c r="C1" s="14" t="inlineStr">
        <is>
          <t>Категория</t>
        </is>
      </c>
      <c r="D1" s="15" t="inlineStr">
        <is>
          <t>→ Реестр</t>
        </is>
      </c>
    </row>
    <row r="2">
      <c r="A2" s="51" t="inlineStr">
        <is>
          <t>0a</t>
        </is>
      </c>
      <c r="B2" s="17" t="inlineStr">
        <is>
          <t>Samsung SGH-C130</t>
        </is>
      </c>
      <c r="C2" s="11" t="inlineStr">
        <is>
          <t>Археология</t>
        </is>
      </c>
      <c r="D2" s="29">
        <f>HYPERLINK("#Реестр!A2","открыть ▸")</f>
        <v/>
      </c>
    </row>
    <row r="3">
      <c r="A3" s="51" t="inlineStr">
        <is>
          <t>0b</t>
        </is>
      </c>
      <c r="B3" s="31" t="inlineStr">
        <is>
          <t>Samsung E250</t>
        </is>
      </c>
      <c r="C3" s="11" t="inlineStr">
        <is>
          <t>Археология</t>
        </is>
      </c>
      <c r="D3" s="29">
        <f>HYPERLINK("#Реестр!A3","открыть ▸")</f>
        <v/>
      </c>
    </row>
    <row r="4">
      <c r="A4" s="51" t="inlineStr">
        <is>
          <t>0c</t>
        </is>
      </c>
      <c r="B4" s="17" t="inlineStr">
        <is>
          <t>Nokia 6300</t>
        </is>
      </c>
      <c r="C4" s="11" t="inlineStr">
        <is>
          <t>Археология</t>
        </is>
      </c>
      <c r="D4" s="29">
        <f>HYPERLINK("#Реестр!A4","открыть ▸")</f>
        <v/>
      </c>
    </row>
    <row r="5">
      <c r="A5" s="51" t="inlineStr">
        <is>
          <t>0d</t>
        </is>
      </c>
      <c r="B5" s="31" t="inlineStr">
        <is>
          <t>Безымянные кнопочные</t>
        </is>
      </c>
      <c r="C5" s="11" t="inlineStr">
        <is>
          <t>Археология</t>
        </is>
      </c>
      <c r="D5" s="29">
        <f>HYPERLINK("#Реестр!A5","открыть ▸")</f>
        <v/>
      </c>
    </row>
    <row r="6">
      <c r="A6" s="51" t="inlineStr">
        <is>
          <t>1</t>
        </is>
      </c>
      <c r="B6" s="17" t="inlineStr">
        <is>
          <t>Samsung Galaxy Mini 2</t>
        </is>
      </c>
      <c r="C6" s="11" t="inlineStr">
        <is>
          <t>Археология</t>
        </is>
      </c>
      <c r="D6" s="29">
        <f>HYPERLINK("#Реестр!A6","открыть ▸")</f>
        <v/>
      </c>
    </row>
    <row r="7">
      <c r="A7" s="51" t="inlineStr">
        <is>
          <t>2</t>
        </is>
      </c>
      <c r="B7" s="31" t="inlineStr">
        <is>
          <t>Lenovo A328</t>
        </is>
      </c>
      <c r="C7" s="12" t="inlineStr">
        <is>
          <t>Ушли и прочие</t>
        </is>
      </c>
      <c r="D7" s="29">
        <f>HYPERLINK("#Реестр!A7","открыть ▸")</f>
        <v/>
      </c>
    </row>
    <row r="8">
      <c r="A8" s="51" t="inlineStr">
        <is>
          <t>2b</t>
        </is>
      </c>
      <c r="B8" s="17" t="inlineStr">
        <is>
          <t>Lenovo Tab 2 A10-70L</t>
        </is>
      </c>
      <c r="C8" s="12" t="inlineStr">
        <is>
          <t>Ушли и прочие</t>
        </is>
      </c>
      <c r="D8" s="29">
        <f>HYPERLINK("#Реестр!A8","открыть ▸")</f>
        <v/>
      </c>
    </row>
    <row r="9">
      <c r="A9" s="51" t="inlineStr">
        <is>
          <t>2c</t>
        </is>
      </c>
      <c r="B9" s="31" t="inlineStr">
        <is>
          <t>Sony Xperia Z1 (C6903)</t>
        </is>
      </c>
      <c r="C9" s="12" t="inlineStr">
        <is>
          <t>Ушли и прочие</t>
        </is>
      </c>
      <c r="D9" s="29">
        <f>HYPERLINK("#Реестр!A9","открыть ▸")</f>
        <v/>
      </c>
    </row>
    <row r="10">
      <c r="A10" s="51" t="inlineStr">
        <is>
          <t>3</t>
        </is>
      </c>
      <c r="B10" s="17" t="inlineStr">
        <is>
          <t>BQ-5035 Velvet</t>
        </is>
      </c>
      <c r="C10" s="12" t="inlineStr">
        <is>
          <t>Ушли и прочие</t>
        </is>
      </c>
      <c r="D10" s="29">
        <f>HYPERLINK("#Реестр!A10","открыть ▸")</f>
        <v/>
      </c>
    </row>
    <row r="11">
      <c r="A11" s="51" t="inlineStr">
        <is>
          <t>4</t>
        </is>
      </c>
      <c r="B11" s="31" t="inlineStr">
        <is>
          <t>BQ Strike</t>
        </is>
      </c>
      <c r="C11" s="12" t="inlineStr">
        <is>
          <t>Ушли и прочие</t>
        </is>
      </c>
      <c r="D11" s="29">
        <f>HYPERLINK("#Реестр!A11","открыть ▸")</f>
        <v/>
      </c>
    </row>
    <row r="12">
      <c r="A12" s="51" t="inlineStr">
        <is>
          <t>5</t>
        </is>
      </c>
      <c r="B12" s="17" t="inlineStr">
        <is>
          <t>Infinix Hot 11</t>
        </is>
      </c>
      <c r="C12" s="12" t="inlineStr">
        <is>
          <t>Ушли и прочие</t>
        </is>
      </c>
      <c r="D12" s="29">
        <f>HYPERLINK("#Реестр!A12","открыть ▸")</f>
        <v/>
      </c>
    </row>
    <row r="13">
      <c r="A13" s="51" t="inlineStr">
        <is>
          <t>6</t>
        </is>
      </c>
      <c r="B13" s="31" t="inlineStr">
        <is>
          <t>Infinix Hot 20i (X665E)</t>
        </is>
      </c>
      <c r="C13" s="7" t="inlineStr">
        <is>
          <t>Ветераны</t>
        </is>
      </c>
      <c r="D13" s="29">
        <f>HYPERLINK("#Реестр!A13","открыть ▸")</f>
        <v/>
      </c>
    </row>
    <row r="14">
      <c r="A14" s="51" t="inlineStr">
        <is>
          <t>6b</t>
        </is>
      </c>
      <c r="B14" s="17" t="inlineStr">
        <is>
          <t>Honor X7c</t>
        </is>
      </c>
      <c r="C14" s="12" t="inlineStr">
        <is>
          <t>Ушли и прочие</t>
        </is>
      </c>
      <c r="D14" s="29">
        <f>HYPERLINK("#Реестр!A14","открыть ▸")</f>
        <v/>
      </c>
    </row>
    <row r="15">
      <c r="A15" s="51" t="inlineStr">
        <is>
          <t>7</t>
        </is>
      </c>
      <c r="B15" s="31" t="inlineStr">
        <is>
          <t>P901 (OPPO CPH1821EX)</t>
        </is>
      </c>
      <c r="C15" s="12" t="inlineStr">
        <is>
          <t>Ушли и прочие</t>
        </is>
      </c>
      <c r="D15" s="29">
        <f>HYPERLINK("#Реестр!A15","открыть ▸")</f>
        <v/>
      </c>
    </row>
    <row r="16">
      <c r="A16" s="51" t="inlineStr">
        <is>
          <t>8</t>
        </is>
      </c>
      <c r="B16" s="17" t="inlineStr">
        <is>
          <t>Infinix Hot 30 Play</t>
        </is>
      </c>
      <c r="C16" s="7" t="inlineStr">
        <is>
          <t>Ветераны</t>
        </is>
      </c>
      <c r="D16" s="29">
        <f>HYPERLINK("#Реестр!A16","открыть ▸")</f>
        <v/>
      </c>
    </row>
    <row r="17">
      <c r="A17" s="51" t="inlineStr">
        <is>
          <t>9</t>
        </is>
      </c>
      <c r="B17" s="31" t="inlineStr">
        <is>
          <t>Samsung S25+</t>
        </is>
      </c>
      <c r="C17" s="12" t="inlineStr">
        <is>
          <t>Ушли и прочие</t>
        </is>
      </c>
      <c r="D17" s="29">
        <f>HYPERLINK("#Реестр!A17","открыть ▸")</f>
        <v/>
      </c>
    </row>
    <row r="18">
      <c r="A18" s="51" t="inlineStr">
        <is>
          <t>10</t>
        </is>
      </c>
      <c r="B18" s="17" t="inlineStr">
        <is>
          <t>iPhone 17 Pro Max</t>
        </is>
      </c>
      <c r="C18" s="12" t="inlineStr">
        <is>
          <t>Ушли и прочие</t>
        </is>
      </c>
      <c r="D18" s="29">
        <f>HYPERLINK("#Реестр!A18","открыть ▸")</f>
        <v/>
      </c>
    </row>
    <row r="19">
      <c r="A19" s="51" t="inlineStr">
        <is>
          <t>11</t>
        </is>
      </c>
      <c r="B19" s="31" t="inlineStr">
        <is>
          <t>Soyes F8 Pro Max</t>
        </is>
      </c>
      <c r="C19" s="12" t="inlineStr">
        <is>
          <t>Ушли и прочие</t>
        </is>
      </c>
      <c r="D19" s="29">
        <f>HYPERLINK("#Реестр!A19","открыть ▸")</f>
        <v/>
      </c>
    </row>
    <row r="20">
      <c r="A20" s="51" t="inlineStr">
        <is>
          <t>12</t>
        </is>
      </c>
      <c r="B20" s="17" t="inlineStr">
        <is>
          <t>Nokia 6300 (Silver)</t>
        </is>
      </c>
      <c r="C20" s="5" t="inlineStr">
        <is>
          <t>На службе</t>
        </is>
      </c>
      <c r="D20" s="29">
        <f>HYPERLINK("#Реестр!A20","открыть ▸")</f>
        <v/>
      </c>
    </row>
    <row r="21">
      <c r="A21" s="51" t="inlineStr">
        <is>
          <t>13</t>
        </is>
      </c>
      <c r="B21" s="31" t="inlineStr">
        <is>
          <t>Realme C75</t>
        </is>
      </c>
      <c r="C21" s="12" t="inlineStr">
        <is>
          <t>Ушли и прочие</t>
        </is>
      </c>
      <c r="D21" s="29">
        <f>HYPERLINK("#Реестр!A21","открыть ▸")</f>
        <v/>
      </c>
    </row>
    <row r="22">
      <c r="A22" s="51" t="inlineStr">
        <is>
          <t>14</t>
        </is>
      </c>
      <c r="B22" s="17" t="inlineStr">
        <is>
          <t>POCO F9 Ultra</t>
        </is>
      </c>
      <c r="C22" s="5" t="inlineStr">
        <is>
          <t>На службе</t>
        </is>
      </c>
      <c r="D22" s="29">
        <f>HYPERLINK("#Реестр!A22","открыть ▸")</f>
        <v/>
      </c>
    </row>
    <row r="23">
      <c r="A23" s="51" t="inlineStr">
        <is>
          <t>14.1</t>
        </is>
      </c>
      <c r="B23" s="31" t="inlineStr">
        <is>
          <t>HOCO X50</t>
        </is>
      </c>
      <c r="C23" s="8" t="inlineStr">
        <is>
          <t>Подтехники</t>
        </is>
      </c>
      <c r="D23" s="29">
        <f>HYPERLINK("#Реестр!A23","открыть ▸")</f>
        <v/>
      </c>
    </row>
    <row r="24">
      <c r="A24" s="51" t="inlineStr">
        <is>
          <t>14.2</t>
        </is>
      </c>
      <c r="B24" s="17" t="inlineStr">
        <is>
          <t>Xiaomi 120W HyperCharge (сетевое ЗУ)</t>
        </is>
      </c>
      <c r="C24" s="8" t="inlineStr">
        <is>
          <t>Подтехники</t>
        </is>
      </c>
      <c r="D24" s="29">
        <f>HYPERLINK("#Реестр!A24","открыть ▸")</f>
        <v/>
      </c>
    </row>
    <row r="25">
      <c r="A25" s="51" t="inlineStr">
        <is>
          <t>14A</t>
        </is>
      </c>
      <c r="B25" s="31" t="inlineStr">
        <is>
          <t>OnePlus 15 (CPH2749)</t>
        </is>
      </c>
      <c r="C25" s="10" t="inlineStr">
        <is>
          <t>Альтернативная ветка</t>
        </is>
      </c>
      <c r="D25" s="29">
        <f>HYPERLINK("#Реестр!A25","открыть ▸")</f>
        <v/>
      </c>
    </row>
    <row r="26">
      <c r="A26" s="51" t="inlineStr">
        <is>
          <t>15</t>
        </is>
      </c>
      <c r="B26" s="17" t="inlineStr">
        <is>
          <t>BQ 2430L Tank Connect</t>
        </is>
      </c>
      <c r="C26" s="9" t="inlineStr">
        <is>
          <t>В пути</t>
        </is>
      </c>
      <c r="D26" s="29">
        <f>HYPERLINK("#Реестр!A26","открыть ▸")</f>
        <v/>
      </c>
    </row>
    <row r="27">
      <c r="A27" s="51" t="inlineStr">
        <is>
          <t>16</t>
        </is>
      </c>
      <c r="B27" s="31" t="inlineStr">
        <is>
          <t>POCO Pad M1</t>
        </is>
      </c>
      <c r="C27" s="9" t="inlineStr">
        <is>
          <t>В пути</t>
        </is>
      </c>
      <c r="D27" s="29">
        <f>HYPERLINK("#Реестр!A27","открыть ▸")</f>
        <v/>
      </c>
    </row>
    <row r="28">
      <c r="A28" s="51" t="inlineStr">
        <is>
          <t>16.1</t>
        </is>
      </c>
      <c r="B28" s="17" t="inlineStr">
        <is>
          <t>GEMBIRD KBW-8460</t>
        </is>
      </c>
      <c r="C28" s="8" t="inlineStr">
        <is>
          <t>Подтехники</t>
        </is>
      </c>
      <c r="D28" s="29">
        <f>HYPERLINK("#Реестр!A28","открыть ▸")</f>
        <v/>
      </c>
    </row>
    <row r="29">
      <c r="A29" s="51" t="inlineStr">
        <is>
          <t>16.2</t>
        </is>
      </c>
      <c r="B29" s="31" t="inlineStr">
        <is>
          <t>Redragon Storm Basic</t>
        </is>
      </c>
      <c r="C29" s="8" t="inlineStr">
        <is>
          <t>Подтехники</t>
        </is>
      </c>
      <c r="D29" s="29">
        <f>HYPERLINK("#Реестр!A29","открыть ▸")</f>
        <v/>
      </c>
    </row>
    <row r="30">
      <c r="A30" s="51" t="inlineStr">
        <is>
          <t>16.3</t>
        </is>
      </c>
      <c r="B30" s="17" t="inlineStr">
        <is>
          <t>WALKER OTG Type-C → USB</t>
        </is>
      </c>
      <c r="C30" s="8" t="inlineStr">
        <is>
          <t>Подтехники</t>
        </is>
      </c>
      <c r="D30" s="29">
        <f>HYPERLINK("#Реестр!A30","открыть ▸")</f>
        <v/>
      </c>
    </row>
    <row r="31">
      <c r="A31" s="51" t="inlineStr">
        <is>
          <t>17</t>
        </is>
      </c>
      <c r="B31" s="31" t="inlineStr">
        <is>
          <t>Xiaomi Pad 7</t>
        </is>
      </c>
      <c r="C31" s="12" t="inlineStr">
        <is>
          <t>Ушли и прочие</t>
        </is>
      </c>
      <c r="D31" s="29">
        <f>HYPERLINK("#Реестр!A31","открыть ▸")</f>
        <v/>
      </c>
    </row>
    <row r="32">
      <c r="A32" s="51" t="inlineStr">
        <is>
          <t>18</t>
        </is>
      </c>
      <c r="B32" s="17" t="inlineStr">
        <is>
          <t>Philips Xenium X175</t>
        </is>
      </c>
      <c r="C32" s="5" t="inlineStr">
        <is>
          <t>На службе</t>
        </is>
      </c>
      <c r="D32" s="29">
        <f>HYPERLINK("#Реестр!A32","открыть ▸")</f>
        <v/>
      </c>
    </row>
    <row r="33">
      <c r="A33" s="51" t="inlineStr">
        <is>
          <t>19</t>
        </is>
      </c>
      <c r="B33" s="31" t="inlineStr">
        <is>
          <t>Redmi Note 13 5G</t>
        </is>
      </c>
      <c r="C33" s="12" t="inlineStr">
        <is>
          <t>Ушли и прочие</t>
        </is>
      </c>
      <c r="D33" s="29">
        <f>HYPERLINK("#Реестр!A33","открыть ▸")</f>
        <v/>
      </c>
    </row>
    <row r="34">
      <c r="A34" s="51" t="inlineStr">
        <is>
          <t>20</t>
        </is>
      </c>
      <c r="B34" s="17" t="inlineStr">
        <is>
          <t>Infinix GT 30 Pro</t>
        </is>
      </c>
      <c r="C34" s="5" t="inlineStr">
        <is>
          <t>На службе</t>
        </is>
      </c>
      <c r="D34" s="29">
        <f>HYPERLINK("#Реестр!A34","открыть ▸")</f>
        <v/>
      </c>
    </row>
    <row r="35">
      <c r="A35" s="51" t="inlineStr">
        <is>
          <t>21</t>
        </is>
      </c>
      <c r="B35" s="17" t="inlineStr">
        <is>
          <t>TeXet TM-130</t>
        </is>
      </c>
      <c r="C35" s="5" t="inlineStr">
        <is>
          <t>На службе</t>
        </is>
      </c>
      <c r="D35" s="29">
        <f>HYPERLINK("#Реестр!A36","открыть ▸")</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170"/>
  <sheetViews>
    <sheetView showGridLines="1" workbookViewId="0">
      <selection activeCell="A1" sqref="A1"/>
    </sheetView>
  </sheetViews>
  <sheetFormatPr baseColWidth="8" defaultRowHeight="15"/>
  <cols>
    <col width="2" customWidth="1" style="67" min="1" max="1"/>
    <col width="22" customWidth="1" style="67" min="2" max="2"/>
    <col width="16" customWidth="1" style="67" min="3" max="3"/>
    <col width="22" customWidth="1" style="67" min="4" max="4"/>
    <col width="16" customWidth="1" style="67" min="5" max="5"/>
    <col width="22" customWidth="1" style="67" min="6" max="6"/>
    <col width="4" customWidth="1" style="67" min="7" max="7"/>
    <col width="22" customWidth="1" style="67" min="8" max="8"/>
    <col width="4" customWidth="1" style="67" min="9" max="9"/>
    <col width="60" customWidth="1" style="67" min="10" max="10"/>
  </cols>
  <sheetData>
    <row r="2" ht="36" customHeight="1" s="67">
      <c r="B2" s="107" t="inlineStr">
        <is>
          <t>ЖИВАЯ СТАТИСТИКА ФОНДА</t>
        </is>
      </c>
    </row>
    <row r="3">
      <c r="B3" s="108" t="inlineStr">
        <is>
          <t>все цифры — живые формулы: правка реестра пересчитывает всё само</t>
        </is>
      </c>
    </row>
    <row r="5" ht="30" customHeight="1" s="67">
      <c r="B5" s="109">
        <f>COUNTIFS(Реестр!$Q$2:$Q$36,"&lt;&gt;*Отказ владельца*")</f>
        <v/>
      </c>
      <c r="D5" s="109">
        <f>COUNTIFS(Реестр!$Q$2:$Q$36,"&lt;&gt;*Отказ владельца*",Реестр!$N$2:$N$36,"&gt;0")</f>
        <v/>
      </c>
      <c r="F5" s="109">
        <f>SUMIFS(Реестр!$N$2:$N$36,Реестр!$Q$2:$Q$36,"&lt;&gt;*Отказ владельца*")</f>
        <v/>
      </c>
      <c r="H5" s="109">
        <f>ROUND(AVERAGEIFS(Реестр!$N$2:$N$36,Реестр!$Q$2:$Q$36,"&lt;&gt;*Отказ владельца*"),0)</f>
        <v/>
      </c>
    </row>
    <row r="6">
      <c r="B6" s="110" t="inlineStr">
        <is>
          <t>экспонатов</t>
        </is>
      </c>
      <c r="D6" s="110" t="inlineStr">
        <is>
          <t>куплено</t>
        </is>
      </c>
      <c r="F6" s="110" t="inlineStr">
        <is>
          <t>сумма покупок, ₽</t>
        </is>
      </c>
      <c r="H6" s="110" t="inlineStr">
        <is>
          <t>средняя цена, ₽</t>
        </is>
      </c>
    </row>
    <row r="9">
      <c r="B9" s="111" t="inlineStr">
        <is>
          <t>Общие счётчики</t>
        </is>
      </c>
    </row>
    <row r="10">
      <c r="B10" s="0" t="inlineStr">
        <is>
          <t>Всего записей хроники</t>
        </is>
      </c>
      <c r="C10" s="112">
        <f>COUNTA(Реестр!$A$2:$A$36)</f>
        <v/>
      </c>
    </row>
    <row r="11">
      <c r="B11" s="0" t="inlineStr">
        <is>
          <t>Экспонатов (без отказных)</t>
        </is>
      </c>
      <c r="C11" s="112">
        <f>COUNTIFS(Реестр!$Q$2:$Q$36,"&lt;&gt;*Отказ владельца*")</f>
        <v/>
      </c>
    </row>
    <row r="12">
      <c r="B12" s="0" t="inlineStr">
        <is>
          <t>Куплено (цена &gt; 0)</t>
        </is>
      </c>
      <c r="C12" s="112">
        <f>COUNTIFS(Реестр!$Q$2:$Q$36,"&lt;&gt;*Отказ владельца*",Реестр!$N$2:$N$36,"&gt;0")</f>
        <v/>
      </c>
    </row>
    <row r="13">
      <c r="B13" s="0" t="inlineStr">
        <is>
          <t>Найдено бесплатно (цена 0)</t>
        </is>
      </c>
      <c r="C13" s="112">
        <f>COUNTIFS(Реестр!$Q$2:$Q$36,"&lt;&gt;*Отказ владельца*",Реестр!$N$2:$N$36,0)</f>
        <v/>
      </c>
    </row>
    <row r="15">
      <c r="B15" s="111" t="inlineStr">
        <is>
          <t>Деньги</t>
        </is>
      </c>
    </row>
    <row r="16">
      <c r="B16" s="0" t="inlineStr">
        <is>
          <t>Сумма покупок (без отказных), ₽</t>
        </is>
      </c>
      <c r="C16" s="112">
        <f>SUMIFS(Реестр!$N$2:$N$36,Реестр!$Q$2:$Q$36,"&lt;&gt;*Отказ владельца*")</f>
        <v/>
      </c>
    </row>
    <row r="17">
      <c r="B17" s="0" t="inlineStr">
        <is>
          <t>Средняя цена покупки, ₽</t>
        </is>
      </c>
      <c r="C17" s="112">
        <f>ROUND(AVERAGEIFS(Реестр!$N$2:$N$36,Реестр!$Q$2:$Q$36,"&lt;&gt;*Отказ владельца*",Реестр!$N$2:$N$36,"&gt;0"),0)</f>
        <v/>
      </c>
    </row>
    <row r="18">
      <c r="B18" s="0" t="inlineStr">
        <is>
          <t>Максимальная цена, ₽</t>
        </is>
      </c>
      <c r="C18" s="112">
        <f>MAX(Реестр!$W$2:$W$36)</f>
        <v/>
      </c>
    </row>
    <row r="19">
      <c r="B19" s="0" t="inlineStr">
        <is>
          <t>Минимальная из купленных, ₽</t>
        </is>
      </c>
      <c r="C19" s="112">
        <f>MIN(Реестр!$W$2:$W$36)</f>
        <v/>
      </c>
    </row>
    <row r="21">
      <c r="B21" s="111" t="inlineStr">
        <is>
          <t>Возраст фонда</t>
        </is>
      </c>
    </row>
    <row r="22">
      <c r="B22" s="0" t="inlineStr">
        <is>
          <t>Средний год модели</t>
        </is>
      </c>
      <c r="C22" s="112">
        <f>ROUND(AVERAGEIFS(Реестр!$D$2:$D$36,Реестр!$Q$2:$Q$36,"&lt;&gt;*Отказ владельца*"),1)</f>
        <v/>
      </c>
    </row>
    <row r="23">
      <c r="B23" s="0" t="inlineStr">
        <is>
          <t>Средний возраст, лет</t>
        </is>
      </c>
      <c r="C23" s="112">
        <f>ROUND(2026-AVERAGEIFS(Реестр!$D$2:$D$36,Реестр!$Q$2:$Q$36,"&lt;&gt;*Отказ владельца*"),1)</f>
        <v/>
      </c>
    </row>
    <row r="24">
      <c r="B24" s="0" t="inlineStr">
        <is>
          <t>Старейший экспонат</t>
        </is>
      </c>
      <c r="C24" s="112" t="inlineStr">
        <is>
          <t>Samsung SGH-C130 (№ 0a) · модель 2007</t>
        </is>
      </c>
    </row>
    <row r="25">
      <c r="B25" s="0" t="inlineStr">
        <is>
          <t>Новейший</t>
        </is>
      </c>
      <c r="C25" s="112" t="inlineStr">
        <is>
          <t>POCO F9 Ultra и другие · модель 2026</t>
        </is>
      </c>
    </row>
    <row r="27">
      <c r="B27" s="111" t="inlineStr">
        <is>
          <t>Категории (живые счётчики, без отказных)</t>
        </is>
      </c>
    </row>
    <row r="28">
      <c r="B28" s="0" t="inlineStr">
        <is>
          <t>На службе</t>
        </is>
      </c>
      <c r="C28" s="112">
        <f>COUNTIFS(Реестр!$C$2:$C$36,"На службе",Реестр!$Q$2:$Q$36,"&lt;&gt;*Отказ владельца*")</f>
        <v/>
      </c>
    </row>
    <row r="29">
      <c r="B29" s="0" t="inlineStr">
        <is>
          <t>Ветераны</t>
        </is>
      </c>
      <c r="C29" s="112">
        <f>COUNTIFS(Реестр!$C$2:$C$36,"Ветераны",Реестр!$Q$2:$Q$36,"&lt;&gt;*Отказ владельца*")</f>
        <v/>
      </c>
    </row>
    <row r="30">
      <c r="B30" s="0" t="inlineStr">
        <is>
          <t>Подтехники</t>
        </is>
      </c>
      <c r="C30" s="112">
        <f>COUNTIFS(Реестр!$C$2:$C$36,"Подтехники",Реестр!$Q$2:$Q$36,"&lt;&gt;*Отказ владельца*")</f>
        <v/>
      </c>
    </row>
    <row r="31">
      <c r="B31" s="0" t="inlineStr">
        <is>
          <t>Альтернативная ветка</t>
        </is>
      </c>
      <c r="C31" s="112">
        <f>COUNTIFS(Реестр!$C$2:$C$36,"Альтернативная ветка",Реестр!$Q$2:$Q$36,"&lt;&gt;*Отказ владельца*")</f>
        <v/>
      </c>
    </row>
    <row r="32">
      <c r="B32" s="0" t="inlineStr">
        <is>
          <t>Археология</t>
        </is>
      </c>
      <c r="C32" s="112">
        <f>COUNTIFS(Реестр!$C$2:$C$36,"Археология",Реестр!$Q$2:$Q$36,"&lt;&gt;*Отказ владельца*")</f>
        <v/>
      </c>
    </row>
    <row r="33">
      <c r="B33" s="0" t="inlineStr">
        <is>
          <t>Ушли и прочие</t>
        </is>
      </c>
      <c r="C33" s="112">
        <f>COUNTIFS(Реестр!$C$2:$C$36,"Ушли и прочие",Реестр!$Q$2:$Q$36,"&lt;&gt;*Отказ владельца*")</f>
        <v/>
      </c>
    </row>
    <row r="34">
      <c r="B34" s="0" t="inlineStr">
        <is>
          <t>В пути · упразднена 16.10.2026</t>
        </is>
      </c>
      <c r="C34" s="0" t="n">
        <v>0</v>
      </c>
    </row>
    <row r="36">
      <c r="B36" s="111" t="inlineStr">
        <is>
          <t>Рекордсмены (снимок 16.10.2026)</t>
        </is>
      </c>
    </row>
    <row r="37">
      <c r="B37" s="113" t="inlineStr">
        <is>
          <t>1. Цена: iPhone 17 Pro Max — 138 020 ₽</t>
        </is>
      </c>
    </row>
    <row r="38">
      <c r="B38" s="113" t="inlineStr">
        <is>
          <t>2. Батарея: Xiaomi Pad 7 — 8 850 мАч</t>
        </is>
      </c>
    </row>
    <row r="39">
      <c r="B39" s="113" t="inlineStr">
        <is>
          <t>3. Камера: POCO F9 Ultra — 200 МП</t>
        </is>
      </c>
    </row>
    <row r="40">
      <c r="B40" s="113" t="inlineStr">
        <is>
          <t>4. Экран: Xiaomi Pad 7 — 11.2″</t>
        </is>
      </c>
    </row>
    <row r="41">
      <c r="B41" s="113" t="inlineStr">
        <is>
          <t>5. Зарядка: OnePlus 15 (CPH2749) — 120 Вт</t>
        </is>
      </c>
    </row>
    <row r="42">
      <c r="B42" s="113" t="inlineStr">
        <is>
          <t>6. ПЗУ 512 ГБ — ничья: Honor X7c, P901 (OPPO CPH1821EX), POCO F9 Ultra, Samsung S25+</t>
        </is>
      </c>
    </row>
    <row r="44">
      <c r="B44" s="111" t="inlineStr">
        <is>
          <t>Пришло по годам (без отказных)</t>
        </is>
      </c>
    </row>
    <row r="45">
      <c r="B45" s="0" t="n">
        <v>2007</v>
      </c>
      <c r="C45" s="112">
        <f>COUNTIFS(Реестр!$E$2:$E$36,2007,Реестр!$Q$2:$Q$36,"&lt;&gt;*Отказ владельца*")</f>
        <v/>
      </c>
    </row>
    <row r="46">
      <c r="B46" s="0" t="n">
        <v>2008</v>
      </c>
      <c r="C46" s="112">
        <f>COUNTIFS(Реестр!$E$2:$E$36,2008,Реестр!$Q$2:$Q$36,"&lt;&gt;*Отказ владельца*")</f>
        <v/>
      </c>
    </row>
    <row r="47">
      <c r="B47" s="0" t="n">
        <v>2009</v>
      </c>
      <c r="C47" s="112">
        <f>COUNTIFS(Реестр!$E$2:$E$36,2009,Реестр!$Q$2:$Q$36,"&lt;&gt;*Отказ владельца*")</f>
        <v/>
      </c>
    </row>
    <row r="48">
      <c r="B48" s="0" t="n">
        <v>2010</v>
      </c>
      <c r="C48" s="112">
        <f>COUNTIFS(Реестр!$E$2:$E$36,2010,Реестр!$Q$2:$Q$36,"&lt;&gt;*Отказ владельца*")</f>
        <v/>
      </c>
    </row>
    <row r="49">
      <c r="B49" s="0" t="n">
        <v>2011</v>
      </c>
      <c r="C49" s="112">
        <f>COUNTIFS(Реестр!$E$2:$E$36,2011,Реестр!$Q$2:$Q$36,"&lt;&gt;*Отказ владельца*")</f>
        <v/>
      </c>
    </row>
    <row r="50">
      <c r="B50" s="0" t="n">
        <v>2012</v>
      </c>
      <c r="C50" s="112">
        <f>COUNTIFS(Реестр!$E$2:$E$36,2012,Реестр!$Q$2:$Q$36,"&lt;&gt;*Отказ владельца*")</f>
        <v/>
      </c>
    </row>
    <row r="51">
      <c r="B51" s="0" t="n">
        <v>2013</v>
      </c>
      <c r="C51" s="112">
        <f>COUNTIFS(Реестр!$E$2:$E$36,2013,Реестр!$Q$2:$Q$36,"&lt;&gt;*Отказ владельца*")</f>
        <v/>
      </c>
    </row>
    <row r="52">
      <c r="B52" s="0" t="n">
        <v>2014</v>
      </c>
      <c r="C52" s="112">
        <f>COUNTIFS(Реестр!$E$2:$E$36,2014,Реестр!$Q$2:$Q$36,"&lt;&gt;*Отказ владельца*")</f>
        <v/>
      </c>
    </row>
    <row r="53">
      <c r="B53" s="0" t="n">
        <v>2015</v>
      </c>
      <c r="C53" s="112">
        <f>COUNTIFS(Реестр!$E$2:$E$36,2015,Реестр!$Q$2:$Q$36,"&lt;&gt;*Отказ владельца*")</f>
        <v/>
      </c>
    </row>
    <row r="54">
      <c r="B54" s="0" t="n">
        <v>2016</v>
      </c>
      <c r="C54" s="112">
        <f>COUNTIFS(Реестр!$E$2:$E$36,2016,Реестр!$Q$2:$Q$36,"&lt;&gt;*Отказ владельца*")</f>
        <v/>
      </c>
    </row>
    <row r="55">
      <c r="B55" s="0" t="n">
        <v>2017</v>
      </c>
      <c r="C55" s="112">
        <f>COUNTIFS(Реестр!$E$2:$E$36,2017,Реестр!$Q$2:$Q$36,"&lt;&gt;*Отказ владельца*")</f>
        <v/>
      </c>
    </row>
    <row r="56">
      <c r="B56" s="0" t="n">
        <v>2018</v>
      </c>
      <c r="C56" s="112">
        <f>COUNTIFS(Реестр!$E$2:$E$36,2018,Реестр!$Q$2:$Q$36,"&lt;&gt;*Отказ владельца*")</f>
        <v/>
      </c>
    </row>
    <row r="57">
      <c r="B57" s="0" t="n">
        <v>2019</v>
      </c>
      <c r="C57" s="112">
        <f>COUNTIFS(Реестр!$E$2:$E$36,2019,Реестр!$Q$2:$Q$36,"&lt;&gt;*Отказ владельца*")</f>
        <v/>
      </c>
    </row>
    <row r="58">
      <c r="B58" s="0" t="n">
        <v>2020</v>
      </c>
      <c r="C58" s="112">
        <f>COUNTIFS(Реестр!$E$2:$E$36,2020,Реестр!$Q$2:$Q$36,"&lt;&gt;*Отказ владельца*")</f>
        <v/>
      </c>
    </row>
    <row r="59">
      <c r="B59" s="0" t="n">
        <v>2021</v>
      </c>
      <c r="C59" s="112">
        <f>COUNTIFS(Реестр!$E$2:$E$36,2021,Реестр!$Q$2:$Q$36,"&lt;&gt;*Отказ владельца*")</f>
        <v/>
      </c>
    </row>
    <row r="60">
      <c r="B60" s="0" t="n">
        <v>2022</v>
      </c>
      <c r="C60" s="112">
        <f>COUNTIFS(Реестр!$E$2:$E$36,2022,Реестр!$Q$2:$Q$36,"&lt;&gt;*Отказ владельца*")</f>
        <v/>
      </c>
    </row>
    <row r="61">
      <c r="B61" s="0" t="n">
        <v>2023</v>
      </c>
      <c r="C61" s="112">
        <f>COUNTIFS(Реестр!$E$2:$E$36,2023,Реестр!$Q$2:$Q$36,"&lt;&gt;*Отказ владельца*")</f>
        <v/>
      </c>
    </row>
    <row r="62">
      <c r="B62" s="0" t="n">
        <v>2024</v>
      </c>
      <c r="C62" s="112">
        <f>COUNTIFS(Реестр!$E$2:$E$36,2024,Реестр!$Q$2:$Q$36,"&lt;&gt;*Отказ владельца*")</f>
        <v/>
      </c>
    </row>
    <row r="63">
      <c r="B63" s="0" t="n">
        <v>2025</v>
      </c>
      <c r="C63" s="112">
        <f>COUNTIFS(Реестр!$E$2:$E$36,2025,Реестр!$Q$2:$Q$36,"&lt;&gt;*Отказ владельца*")</f>
        <v/>
      </c>
    </row>
    <row r="64">
      <c r="B64" s="0" t="n">
        <v>2026</v>
      </c>
      <c r="C64" s="112">
        <f>COUNTIFS(Реестр!$E$2:$E$36,2026,Реестр!$Q$2:$Q$36,"&lt;&gt;*Отказ владельца*")</f>
        <v/>
      </c>
    </row>
    <row r="65">
      <c r="B65" s="0" t="inlineStr">
        <is>
          <t>Итого</t>
        </is>
      </c>
      <c r="C65" s="112">
        <f>SUM(C45:C64)</f>
        <v/>
      </c>
    </row>
    <row r="67">
      <c r="B67" s="111" t="inlineStr">
        <is>
          <t>Расходы, ₽ (без отказных, цены &gt; 0)</t>
        </is>
      </c>
    </row>
    <row r="68">
      <c r="B68" s="0" t="n">
        <v>2007</v>
      </c>
      <c r="C68" s="114">
        <f>SUMIFS(Реестр!$N$2:$N$36,Реестр!$E$2:$E$36,2007,Реестр!$Q$2:$Q$36,"&lt;&gt;*Отказ владельца*")</f>
        <v/>
      </c>
    </row>
    <row r="69">
      <c r="B69" s="0" t="n">
        <v>2008</v>
      </c>
      <c r="C69" s="114">
        <f>SUMIFS(Реестр!$N$2:$N$36,Реестр!$E$2:$E$36,2008,Реестр!$Q$2:$Q$36,"&lt;&gt;*Отказ владельца*")</f>
        <v/>
      </c>
    </row>
    <row r="70">
      <c r="B70" s="0" t="n">
        <v>2009</v>
      </c>
      <c r="C70" s="114">
        <f>SUMIFS(Реестр!$N$2:$N$36,Реестр!$E$2:$E$36,2009,Реестр!$Q$2:$Q$36,"&lt;&gt;*Отказ владельца*")</f>
        <v/>
      </c>
    </row>
    <row r="71">
      <c r="B71" s="0" t="n">
        <v>2010</v>
      </c>
      <c r="C71" s="114">
        <f>SUMIFS(Реестр!$N$2:$N$36,Реестр!$E$2:$E$36,2010,Реестр!$Q$2:$Q$36,"&lt;&gt;*Отказ владельца*")</f>
        <v/>
      </c>
    </row>
    <row r="72">
      <c r="B72" s="0" t="n">
        <v>2011</v>
      </c>
      <c r="C72" s="114">
        <f>SUMIFS(Реестр!$N$2:$N$36,Реестр!$E$2:$E$36,2011,Реестр!$Q$2:$Q$36,"&lt;&gt;*Отказ владельца*")</f>
        <v/>
      </c>
    </row>
    <row r="73">
      <c r="B73" s="0" t="n">
        <v>2012</v>
      </c>
      <c r="C73" s="114">
        <f>SUMIFS(Реестр!$N$2:$N$36,Реестр!$E$2:$E$36,2012,Реестр!$Q$2:$Q$36,"&lt;&gt;*Отказ владельца*")</f>
        <v/>
      </c>
    </row>
    <row r="74">
      <c r="B74" s="0" t="n">
        <v>2013</v>
      </c>
      <c r="C74" s="114">
        <f>SUMIFS(Реестр!$N$2:$N$36,Реестр!$E$2:$E$36,2013,Реестр!$Q$2:$Q$36,"&lt;&gt;*Отказ владельца*")</f>
        <v/>
      </c>
    </row>
    <row r="75">
      <c r="B75" s="0" t="n">
        <v>2014</v>
      </c>
      <c r="C75" s="114">
        <f>SUMIFS(Реестр!$N$2:$N$36,Реестр!$E$2:$E$36,2014,Реестр!$Q$2:$Q$36,"&lt;&gt;*Отказ владельца*")</f>
        <v/>
      </c>
    </row>
    <row r="76">
      <c r="B76" s="0" t="n">
        <v>2015</v>
      </c>
      <c r="C76" s="114">
        <f>SUMIFS(Реестр!$N$2:$N$36,Реестр!$E$2:$E$36,2015,Реестр!$Q$2:$Q$36,"&lt;&gt;*Отказ владельца*")</f>
        <v/>
      </c>
    </row>
    <row r="77">
      <c r="B77" s="0" t="n">
        <v>2016</v>
      </c>
      <c r="C77" s="114">
        <f>SUMIFS(Реестр!$N$2:$N$36,Реестр!$E$2:$E$36,2016,Реестр!$Q$2:$Q$36,"&lt;&gt;*Отказ владельца*")</f>
        <v/>
      </c>
    </row>
    <row r="78">
      <c r="B78" s="0" t="n">
        <v>2017</v>
      </c>
      <c r="C78" s="114">
        <f>SUMIFS(Реестр!$N$2:$N$36,Реестр!$E$2:$E$36,2017,Реестр!$Q$2:$Q$36,"&lt;&gt;*Отказ владельца*")</f>
        <v/>
      </c>
    </row>
    <row r="79">
      <c r="B79" s="0" t="n">
        <v>2018</v>
      </c>
      <c r="C79" s="114">
        <f>SUMIFS(Реестр!$N$2:$N$36,Реестр!$E$2:$E$36,2018,Реестр!$Q$2:$Q$36,"&lt;&gt;*Отказ владельца*")</f>
        <v/>
      </c>
    </row>
    <row r="80">
      <c r="B80" s="0" t="n">
        <v>2019</v>
      </c>
      <c r="C80" s="114">
        <f>SUMIFS(Реестр!$N$2:$N$36,Реестр!$E$2:$E$36,2019,Реестр!$Q$2:$Q$36,"&lt;&gt;*Отказ владельца*")</f>
        <v/>
      </c>
    </row>
    <row r="81">
      <c r="B81" s="0" t="n">
        <v>2020</v>
      </c>
      <c r="C81" s="114">
        <f>SUMIFS(Реестр!$N$2:$N$36,Реестр!$E$2:$E$36,2020,Реестр!$Q$2:$Q$36,"&lt;&gt;*Отказ владельца*")</f>
        <v/>
      </c>
    </row>
    <row r="82">
      <c r="B82" s="0" t="n">
        <v>2021</v>
      </c>
      <c r="C82" s="114">
        <f>SUMIFS(Реестр!$N$2:$N$36,Реестр!$E$2:$E$36,2021,Реестр!$Q$2:$Q$36,"&lt;&gt;*Отказ владельца*")</f>
        <v/>
      </c>
    </row>
    <row r="83">
      <c r="B83" s="0" t="n">
        <v>2022</v>
      </c>
      <c r="C83" s="114">
        <f>SUMIFS(Реестр!$N$2:$N$36,Реестр!$E$2:$E$36,2022,Реестр!$Q$2:$Q$36,"&lt;&gt;*Отказ владельца*")</f>
        <v/>
      </c>
    </row>
    <row r="84">
      <c r="B84" s="0" t="n">
        <v>2023</v>
      </c>
      <c r="C84" s="114">
        <f>SUMIFS(Реестр!$N$2:$N$36,Реестр!$E$2:$E$36,2023,Реестр!$Q$2:$Q$36,"&lt;&gt;*Отказ владельца*")</f>
        <v/>
      </c>
    </row>
    <row r="85">
      <c r="B85" s="0" t="n">
        <v>2024</v>
      </c>
      <c r="C85" s="114">
        <f>SUMIFS(Реестр!$N$2:$N$36,Реестр!$E$2:$E$36,2024,Реестр!$Q$2:$Q$36,"&lt;&gt;*Отказ владельца*")</f>
        <v/>
      </c>
    </row>
    <row r="86">
      <c r="B86" s="0" t="n">
        <v>2025</v>
      </c>
      <c r="C86" s="114">
        <f>SUMIFS(Реестр!$N$2:$N$36,Реестр!$E$2:$E$36,2025,Реестр!$Q$2:$Q$36,"&lt;&gt;*Отказ владельца*")</f>
        <v/>
      </c>
    </row>
    <row r="87">
      <c r="B87" s="0" t="n">
        <v>2026</v>
      </c>
      <c r="C87" s="114">
        <f>SUMIFS(Реестр!$N$2:$N$36,Реестр!$E$2:$E$36,2026,Реестр!$Q$2:$Q$36,"&lt;&gt;*Отказ владельца*")</f>
        <v/>
      </c>
    </row>
    <row r="88">
      <c r="B88" s="0" t="inlineStr">
        <is>
          <t>Итого</t>
        </is>
      </c>
      <c r="C88" s="114">
        <f>SUM(C68:C87)</f>
        <v/>
      </c>
    </row>
    <row r="90">
      <c r="B90" s="111" t="inlineStr">
        <is>
          <t>Батарея vs год модели (снимок, мАч)</t>
        </is>
      </c>
    </row>
    <row r="91">
      <c r="B91" s="0" t="n">
        <v>2007</v>
      </c>
      <c r="C91" s="0" t="n">
        <v>800</v>
      </c>
      <c r="D91" s="0" t="inlineStr">
        <is>
          <t>Samsung SGH-C130</t>
        </is>
      </c>
    </row>
    <row r="92">
      <c r="B92" s="0" t="n">
        <v>2010</v>
      </c>
      <c r="C92" s="0" t="n">
        <v>800</v>
      </c>
      <c r="D92" s="0" t="inlineStr">
        <is>
          <t>Samsung E250</t>
        </is>
      </c>
    </row>
    <row r="93">
      <c r="B93" s="0" t="n">
        <v>2010</v>
      </c>
      <c r="C93" s="0" t="n">
        <v>860</v>
      </c>
      <c r="D93" s="0" t="inlineStr">
        <is>
          <t>Nokia 6300</t>
        </is>
      </c>
    </row>
    <row r="94">
      <c r="B94" s="0" t="n">
        <v>2012</v>
      </c>
      <c r="C94" s="0" t="n">
        <v>1300</v>
      </c>
      <c r="D94" s="0" t="inlineStr">
        <is>
          <t>Samsung Galaxy Mini 2</t>
        </is>
      </c>
    </row>
    <row r="95">
      <c r="B95" s="0" t="n">
        <v>2013</v>
      </c>
      <c r="C95" s="0" t="n">
        <v>3000</v>
      </c>
      <c r="D95" s="0" t="inlineStr">
        <is>
          <t>Sony Xperia Z1 (C6903)</t>
        </is>
      </c>
    </row>
    <row r="96">
      <c r="B96" s="0" t="n">
        <v>2014</v>
      </c>
      <c r="C96" s="0" t="n">
        <v>2000</v>
      </c>
      <c r="D96" s="0" t="inlineStr">
        <is>
          <t>Lenovo A328</t>
        </is>
      </c>
    </row>
    <row r="97">
      <c r="B97" s="0" t="n">
        <v>2015</v>
      </c>
      <c r="C97" s="0" t="n">
        <v>7000</v>
      </c>
      <c r="D97" s="0" t="inlineStr">
        <is>
          <t>Lenovo Tab 2 A10-70L</t>
        </is>
      </c>
    </row>
    <row r="98">
      <c r="B98" s="0" t="n">
        <v>2016</v>
      </c>
      <c r="C98" s="0" t="n">
        <v>2000</v>
      </c>
      <c r="D98" s="0" t="inlineStr">
        <is>
          <t>BQ Strike</t>
        </is>
      </c>
    </row>
    <row r="99">
      <c r="B99" s="0" t="n">
        <v>2017</v>
      </c>
      <c r="C99" s="0" t="n">
        <v>2000</v>
      </c>
      <c r="D99" s="0" t="inlineStr">
        <is>
          <t>BQ-5035 Velvet</t>
        </is>
      </c>
    </row>
    <row r="100">
      <c r="B100" s="0" t="n">
        <v>2019</v>
      </c>
      <c r="C100" s="0" t="n">
        <v>600</v>
      </c>
      <c r="D100" s="0" t="inlineStr">
        <is>
          <t>TeXet TM-130</t>
        </is>
      </c>
    </row>
    <row r="101">
      <c r="B101" s="0" t="n">
        <v>2021</v>
      </c>
      <c r="C101" s="0" t="n">
        <v>6000</v>
      </c>
      <c r="D101" s="0" t="inlineStr">
        <is>
          <t>Infinix Hot 11</t>
        </is>
      </c>
    </row>
    <row r="102">
      <c r="B102" s="0" t="n">
        <v>2022</v>
      </c>
      <c r="C102" s="0" t="n">
        <v>5000</v>
      </c>
      <c r="D102" s="0" t="inlineStr">
        <is>
          <t>Infinix Hot 20i (X665E)</t>
        </is>
      </c>
    </row>
    <row r="103">
      <c r="B103" s="0" t="n">
        <v>2023</v>
      </c>
      <c r="C103" s="0" t="n">
        <v>6000</v>
      </c>
      <c r="D103" s="0" t="inlineStr">
        <is>
          <t>P901 (OPPO CPH1821EX)</t>
        </is>
      </c>
    </row>
    <row r="104">
      <c r="B104" s="0" t="n">
        <v>2023</v>
      </c>
      <c r="C104" s="0" t="n">
        <v>6000</v>
      </c>
      <c r="D104" s="0" t="inlineStr">
        <is>
          <t>Infinix Hot 30 Play</t>
        </is>
      </c>
    </row>
    <row r="105">
      <c r="B105" s="0" t="n">
        <v>2024</v>
      </c>
      <c r="C105" s="0" t="n">
        <v>5200</v>
      </c>
      <c r="D105" s="0" t="inlineStr">
        <is>
          <t>Honor X7c</t>
        </is>
      </c>
    </row>
    <row r="106">
      <c r="B106" s="0" t="n">
        <v>2026</v>
      </c>
      <c r="C106" s="0" t="n">
        <v>4900</v>
      </c>
      <c r="D106" s="0" t="inlineStr">
        <is>
          <t>Samsung S25+</t>
        </is>
      </c>
    </row>
    <row r="107">
      <c r="B107" s="0" t="n">
        <v>2026</v>
      </c>
      <c r="C107" s="0" t="n">
        <v>2000</v>
      </c>
      <c r="D107" s="0" t="inlineStr">
        <is>
          <t>Soyes F8 Pro Max</t>
        </is>
      </c>
    </row>
    <row r="108">
      <c r="B108" s="0" t="n">
        <v>2026</v>
      </c>
      <c r="C108" s="0" t="n">
        <v>6000</v>
      </c>
      <c r="D108" s="0" t="inlineStr">
        <is>
          <t>Realme C75</t>
        </is>
      </c>
    </row>
    <row r="109">
      <c r="B109" s="0" t="n">
        <v>2026</v>
      </c>
      <c r="C109" s="0" t="n">
        <v>8050</v>
      </c>
      <c r="D109" s="0" t="inlineStr">
        <is>
          <t>POCO F9 Ultra</t>
        </is>
      </c>
    </row>
    <row r="110">
      <c r="B110" s="0" t="n">
        <v>2026</v>
      </c>
      <c r="C110" s="0" t="n">
        <v>7300</v>
      </c>
      <c r="D110" s="0" t="inlineStr">
        <is>
          <t>OnePlus 15 (CPH2749)</t>
        </is>
      </c>
    </row>
    <row r="111">
      <c r="B111" s="0" t="n">
        <v>2026</v>
      </c>
      <c r="C111" s="0" t="n">
        <v>8850</v>
      </c>
      <c r="D111" s="0" t="inlineStr">
        <is>
          <t>Xiaomi Pad 7</t>
        </is>
      </c>
    </row>
    <row r="112">
      <c r="B112" s="0" t="n">
        <v>2026</v>
      </c>
      <c r="C112" s="0" t="n">
        <v>5000</v>
      </c>
      <c r="D112" s="0" t="inlineStr">
        <is>
          <t>Redmi Note 13 5G</t>
        </is>
      </c>
    </row>
    <row r="113">
      <c r="B113" s="0" t="n">
        <v>2026</v>
      </c>
      <c r="C113" s="0" t="n">
        <v>5500</v>
      </c>
      <c r="D113" s="0" t="inlineStr">
        <is>
          <t>Infinix GT 30 Pro</t>
        </is>
      </c>
    </row>
    <row r="115">
      <c r="B115" s="120" t="inlineStr">
        <is>
          <t>📊 ТЕКСТ-ГРАФИКИ · мобильная редакция (рендерит сам Excel)</t>
        </is>
      </c>
    </row>
    <row r="117">
      <c r="B117" s="121" t="inlineStr">
        <is>
          <t>Расходы по годам прихода · █ ≈ 20 000 ₽</t>
        </is>
      </c>
    </row>
    <row r="118">
      <c r="B118" s="122">
        <f>B68</f>
        <v/>
      </c>
      <c r="C118" s="123">
        <f>IF(C68&gt;0,REPT("█",ROUND(C68/20000,0)),"")</f>
        <v/>
      </c>
      <c r="E118" s="124">
        <f>C68</f>
        <v/>
      </c>
    </row>
    <row r="119">
      <c r="B119" s="122">
        <f>B69</f>
        <v/>
      </c>
      <c r="C119" s="123">
        <f>IF(C69&gt;0,REPT("█",ROUND(C69/20000,0)),"")</f>
        <v/>
      </c>
      <c r="E119" s="124">
        <f>C69</f>
        <v/>
      </c>
    </row>
    <row r="120">
      <c r="B120" s="122">
        <f>B70</f>
        <v/>
      </c>
      <c r="C120" s="123">
        <f>IF(C70&gt;0,REPT("█",ROUND(C70/20000,0)),"")</f>
        <v/>
      </c>
      <c r="E120" s="124">
        <f>C70</f>
        <v/>
      </c>
    </row>
    <row r="121">
      <c r="B121" s="122">
        <f>B71</f>
        <v/>
      </c>
      <c r="C121" s="123">
        <f>IF(C71&gt;0,REPT("█",ROUND(C71/20000,0)),"")</f>
        <v/>
      </c>
      <c r="E121" s="124">
        <f>C71</f>
        <v/>
      </c>
    </row>
    <row r="122">
      <c r="B122" s="122">
        <f>B72</f>
        <v/>
      </c>
      <c r="C122" s="123">
        <f>IF(C72&gt;0,REPT("█",ROUND(C72/20000,0)),"")</f>
        <v/>
      </c>
      <c r="E122" s="124">
        <f>C72</f>
        <v/>
      </c>
    </row>
    <row r="123">
      <c r="B123" s="122">
        <f>B73</f>
        <v/>
      </c>
      <c r="C123" s="123">
        <f>IF(C73&gt;0,REPT("█",ROUND(C73/20000,0)),"")</f>
        <v/>
      </c>
      <c r="E123" s="124">
        <f>C73</f>
        <v/>
      </c>
    </row>
    <row r="124">
      <c r="B124" s="122">
        <f>B74</f>
        <v/>
      </c>
      <c r="C124" s="123">
        <f>IF(C74&gt;0,REPT("█",ROUND(C74/20000,0)),"")</f>
        <v/>
      </c>
      <c r="E124" s="124">
        <f>C74</f>
        <v/>
      </c>
    </row>
    <row r="125">
      <c r="B125" s="122">
        <f>B75</f>
        <v/>
      </c>
      <c r="C125" s="123">
        <f>IF(C75&gt;0,REPT("█",ROUND(C75/20000,0)),"")</f>
        <v/>
      </c>
      <c r="E125" s="124">
        <f>C75</f>
        <v/>
      </c>
    </row>
    <row r="126">
      <c r="B126" s="122">
        <f>B76</f>
        <v/>
      </c>
      <c r="C126" s="123">
        <f>IF(C76&gt;0,REPT("█",ROUND(C76/20000,0)),"")</f>
        <v/>
      </c>
      <c r="E126" s="124">
        <f>C76</f>
        <v/>
      </c>
    </row>
    <row r="127">
      <c r="B127" s="122">
        <f>B77</f>
        <v/>
      </c>
      <c r="C127" s="123">
        <f>IF(C77&gt;0,REPT("█",ROUND(C77/20000,0)),"")</f>
        <v/>
      </c>
      <c r="E127" s="124">
        <f>C77</f>
        <v/>
      </c>
    </row>
    <row r="128">
      <c r="B128" s="122">
        <f>B78</f>
        <v/>
      </c>
      <c r="C128" s="123">
        <f>IF(C78&gt;0,REPT("█",ROUND(C78/20000,0)),"")</f>
        <v/>
      </c>
      <c r="E128" s="124">
        <f>C78</f>
        <v/>
      </c>
    </row>
    <row r="129">
      <c r="B129" s="122">
        <f>B79</f>
        <v/>
      </c>
      <c r="C129" s="123">
        <f>IF(C79&gt;0,REPT("█",ROUND(C79/20000,0)),"")</f>
        <v/>
      </c>
      <c r="E129" s="124">
        <f>C79</f>
        <v/>
      </c>
    </row>
    <row r="130">
      <c r="B130" s="122">
        <f>B80</f>
        <v/>
      </c>
      <c r="C130" s="123">
        <f>IF(C80&gt;0,REPT("█",ROUND(C80/20000,0)),"")</f>
        <v/>
      </c>
      <c r="E130" s="124">
        <f>C80</f>
        <v/>
      </c>
    </row>
    <row r="131">
      <c r="B131" s="122">
        <f>B81</f>
        <v/>
      </c>
      <c r="C131" s="123">
        <f>IF(C81&gt;0,REPT("█",ROUND(C81/20000,0)),"")</f>
        <v/>
      </c>
      <c r="E131" s="124">
        <f>C81</f>
        <v/>
      </c>
    </row>
    <row r="132">
      <c r="B132" s="122">
        <f>B82</f>
        <v/>
      </c>
      <c r="C132" s="123">
        <f>IF(C82&gt;0,REPT("█",ROUND(C82/20000,0)),"")</f>
        <v/>
      </c>
      <c r="E132" s="124">
        <f>C82</f>
        <v/>
      </c>
    </row>
    <row r="133">
      <c r="B133" s="122">
        <f>B83</f>
        <v/>
      </c>
      <c r="C133" s="123">
        <f>IF(C83&gt;0,REPT("█",ROUND(C83/20000,0)),"")</f>
        <v/>
      </c>
      <c r="E133" s="124">
        <f>C83</f>
        <v/>
      </c>
    </row>
    <row r="134">
      <c r="B134" s="122">
        <f>B84</f>
        <v/>
      </c>
      <c r="C134" s="123">
        <f>IF(C84&gt;0,REPT("█",ROUND(C84/20000,0)),"")</f>
        <v/>
      </c>
      <c r="E134" s="124">
        <f>C84</f>
        <v/>
      </c>
    </row>
    <row r="135">
      <c r="B135" s="122">
        <f>B85</f>
        <v/>
      </c>
      <c r="C135" s="123">
        <f>IF(C85&gt;0,REPT("█",ROUND(C85/20000,0)),"")</f>
        <v/>
      </c>
      <c r="E135" s="124">
        <f>C85</f>
        <v/>
      </c>
    </row>
    <row r="136">
      <c r="B136" s="122">
        <f>B86</f>
        <v/>
      </c>
      <c r="C136" s="123">
        <f>IF(C86&gt;0,REPT("█",ROUND(C86/20000,0)),"")</f>
        <v/>
      </c>
      <c r="E136" s="124">
        <f>C86</f>
        <v/>
      </c>
    </row>
    <row r="137">
      <c r="B137" s="122">
        <f>B87</f>
        <v/>
      </c>
      <c r="C137" s="123">
        <f>IF(C87&gt;0,REPT("█",ROUND(C87/20000,0)),"")</f>
        <v/>
      </c>
      <c r="E137" s="124">
        <f>C87</f>
        <v/>
      </c>
    </row>
    <row r="139">
      <c r="B139" s="121" t="inlineStr">
        <is>
          <t>Состав фонда по категориям · █ = 1 экспонат</t>
        </is>
      </c>
    </row>
    <row r="140">
      <c r="B140" s="0">
        <f>B28</f>
        <v/>
      </c>
      <c r="C140" s="125">
        <f>IF(C28&gt;0,REPT("█",C28),"")</f>
        <v/>
      </c>
      <c r="E140" s="126">
        <f>C28</f>
        <v/>
      </c>
    </row>
    <row r="141">
      <c r="B141" s="0">
        <f>B29</f>
        <v/>
      </c>
      <c r="C141" s="125">
        <f>IF(C29&gt;0,REPT("█",C29),"")</f>
        <v/>
      </c>
      <c r="E141" s="126">
        <f>C29</f>
        <v/>
      </c>
    </row>
    <row r="142">
      <c r="B142" s="0">
        <f>B30</f>
        <v/>
      </c>
      <c r="C142" s="125">
        <f>IF(C30&gt;0,REPT("█",C30),"")</f>
        <v/>
      </c>
      <c r="E142" s="126">
        <f>C30</f>
        <v/>
      </c>
    </row>
    <row r="143">
      <c r="B143" s="0">
        <f>B31</f>
        <v/>
      </c>
      <c r="C143" s="125">
        <f>IF(C31&gt;0,REPT("█",C31),"")</f>
        <v/>
      </c>
      <c r="E143" s="126">
        <f>C31</f>
        <v/>
      </c>
    </row>
    <row r="144">
      <c r="B144" s="0">
        <f>B32</f>
        <v/>
      </c>
      <c r="C144" s="125">
        <f>IF(C32&gt;0,REPT("█",C32),"")</f>
        <v/>
      </c>
      <c r="E144" s="126">
        <f>C32</f>
        <v/>
      </c>
    </row>
    <row r="145">
      <c r="B145" s="0">
        <f>B33</f>
        <v/>
      </c>
      <c r="C145" s="125">
        <f>IF(C33&gt;0,REPT("█",C33),"")</f>
        <v/>
      </c>
      <c r="E145" s="126">
        <f>C33</f>
        <v/>
      </c>
    </row>
    <row r="147">
      <c r="B147" s="121" t="inlineStr">
        <is>
          <t>Батарея по годам моделей · █ ≈ 1000 мАч</t>
        </is>
      </c>
    </row>
    <row r="148">
      <c r="B148" s="122">
        <f>B91&amp;" · "&amp;D91</f>
        <v/>
      </c>
      <c r="C148" s="127">
        <f>IF(C91&gt;0,REPT("█",ROUND(C91/1000,0)),"")</f>
        <v/>
      </c>
      <c r="E148" s="128">
        <f>C91</f>
        <v/>
      </c>
    </row>
    <row r="149">
      <c r="B149" s="122">
        <f>B92&amp;" · "&amp;D92</f>
        <v/>
      </c>
      <c r="C149" s="127">
        <f>IF(C92&gt;0,REPT("█",ROUND(C92/1000,0)),"")</f>
        <v/>
      </c>
      <c r="E149" s="128">
        <f>C92</f>
        <v/>
      </c>
    </row>
    <row r="150">
      <c r="B150" s="122">
        <f>B93&amp;" · "&amp;D93</f>
        <v/>
      </c>
      <c r="C150" s="127">
        <f>IF(C93&gt;0,REPT("█",ROUND(C93/1000,0)),"")</f>
        <v/>
      </c>
      <c r="E150" s="128">
        <f>C93</f>
        <v/>
      </c>
    </row>
    <row r="151">
      <c r="B151" s="122">
        <f>B94&amp;" · "&amp;D94</f>
        <v/>
      </c>
      <c r="C151" s="127">
        <f>IF(C94&gt;0,REPT("█",ROUND(C94/1000,0)),"")</f>
        <v/>
      </c>
      <c r="E151" s="128">
        <f>C94</f>
        <v/>
      </c>
    </row>
    <row r="152">
      <c r="B152" s="122">
        <f>B95&amp;" · "&amp;D95</f>
        <v/>
      </c>
      <c r="C152" s="127">
        <f>IF(C95&gt;0,REPT("█",ROUND(C95/1000,0)),"")</f>
        <v/>
      </c>
      <c r="E152" s="128">
        <f>C95</f>
        <v/>
      </c>
    </row>
    <row r="153">
      <c r="B153" s="122">
        <f>B96&amp;" · "&amp;D96</f>
        <v/>
      </c>
      <c r="C153" s="127">
        <f>IF(C96&gt;0,REPT("█",ROUND(C96/1000,0)),"")</f>
        <v/>
      </c>
      <c r="E153" s="128">
        <f>C96</f>
        <v/>
      </c>
    </row>
    <row r="154">
      <c r="B154" s="122">
        <f>B97&amp;" · "&amp;D97</f>
        <v/>
      </c>
      <c r="C154" s="127">
        <f>IF(C97&gt;0,REPT("█",ROUND(C97/1000,0)),"")</f>
        <v/>
      </c>
      <c r="E154" s="128">
        <f>C97</f>
        <v/>
      </c>
    </row>
    <row r="155">
      <c r="B155" s="122">
        <f>B98&amp;" · "&amp;D98</f>
        <v/>
      </c>
      <c r="C155" s="127">
        <f>IF(C98&gt;0,REPT("█",ROUND(C98/1000,0)),"")</f>
        <v/>
      </c>
      <c r="E155" s="128">
        <f>C98</f>
        <v/>
      </c>
    </row>
    <row r="156">
      <c r="B156" s="122">
        <f>B99&amp;" · "&amp;D99</f>
        <v/>
      </c>
      <c r="C156" s="127">
        <f>IF(C99&gt;0,REPT("█",ROUND(C99/1000,0)),"")</f>
        <v/>
      </c>
      <c r="E156" s="128">
        <f>C99</f>
        <v/>
      </c>
    </row>
    <row r="157">
      <c r="B157" s="122">
        <f>B100&amp;" · "&amp;D100</f>
        <v/>
      </c>
      <c r="C157" s="127">
        <f>IF(C100&gt;0,REPT("█",ROUND(C100/1000,0)),"")</f>
        <v/>
      </c>
      <c r="E157" s="128">
        <f>C100</f>
        <v/>
      </c>
    </row>
    <row r="158">
      <c r="B158" s="122">
        <f>B101&amp;" · "&amp;D101</f>
        <v/>
      </c>
      <c r="C158" s="127">
        <f>IF(C101&gt;0,REPT("█",ROUND(C101/1000,0)),"")</f>
        <v/>
      </c>
      <c r="E158" s="128">
        <f>C101</f>
        <v/>
      </c>
    </row>
    <row r="159">
      <c r="B159" s="122">
        <f>B102&amp;" · "&amp;D102</f>
        <v/>
      </c>
      <c r="C159" s="127">
        <f>IF(C102&gt;0,REPT("█",ROUND(C102/1000,0)),"")</f>
        <v/>
      </c>
      <c r="E159" s="128">
        <f>C102</f>
        <v/>
      </c>
    </row>
    <row r="160">
      <c r="B160" s="122">
        <f>B103&amp;" · "&amp;D103</f>
        <v/>
      </c>
      <c r="C160" s="127">
        <f>IF(C103&gt;0,REPT("█",ROUND(C103/1000,0)),"")</f>
        <v/>
      </c>
      <c r="E160" s="128">
        <f>C103</f>
        <v/>
      </c>
    </row>
    <row r="161">
      <c r="B161" s="122">
        <f>B104&amp;" · "&amp;D104</f>
        <v/>
      </c>
      <c r="C161" s="127">
        <f>IF(C104&gt;0,REPT("█",ROUND(C104/1000,0)),"")</f>
        <v/>
      </c>
      <c r="E161" s="128">
        <f>C104</f>
        <v/>
      </c>
    </row>
    <row r="162">
      <c r="B162" s="122">
        <f>B105&amp;" · "&amp;D105</f>
        <v/>
      </c>
      <c r="C162" s="127">
        <f>IF(C105&gt;0,REPT("█",ROUND(C105/1000,0)),"")</f>
        <v/>
      </c>
      <c r="E162" s="128">
        <f>C105</f>
        <v/>
      </c>
    </row>
    <row r="163">
      <c r="B163" s="122">
        <f>B106&amp;" · "&amp;D106</f>
        <v/>
      </c>
      <c r="C163" s="127">
        <f>IF(C106&gt;0,REPT("█",ROUND(C106/1000,0)),"")</f>
        <v/>
      </c>
      <c r="E163" s="128">
        <f>C106</f>
        <v/>
      </c>
    </row>
    <row r="164">
      <c r="B164" s="122">
        <f>B107&amp;" · "&amp;D107</f>
        <v/>
      </c>
      <c r="C164" s="127">
        <f>IF(C107&gt;0,REPT("█",ROUND(C107/1000,0)),"")</f>
        <v/>
      </c>
      <c r="E164" s="128">
        <f>C107</f>
        <v/>
      </c>
    </row>
    <row r="165">
      <c r="B165" s="122">
        <f>B108&amp;" · "&amp;D108</f>
        <v/>
      </c>
      <c r="C165" s="127">
        <f>IF(C108&gt;0,REPT("█",ROUND(C108/1000,0)),"")</f>
        <v/>
      </c>
      <c r="E165" s="128">
        <f>C108</f>
        <v/>
      </c>
    </row>
    <row r="166">
      <c r="B166" s="122">
        <f>B109&amp;" · "&amp;D109</f>
        <v/>
      </c>
      <c r="C166" s="127">
        <f>IF(C109&gt;0,REPT("█",ROUND(C109/1000,0)),"")</f>
        <v/>
      </c>
      <c r="E166" s="128">
        <f>C109</f>
        <v/>
      </c>
    </row>
    <row r="167">
      <c r="B167" s="122">
        <f>B110&amp;" · "&amp;D110</f>
        <v/>
      </c>
      <c r="C167" s="127">
        <f>IF(C110&gt;0,REPT("█",ROUND(C110/1000,0)),"")</f>
        <v/>
      </c>
      <c r="E167" s="128">
        <f>C110</f>
        <v/>
      </c>
    </row>
    <row r="168">
      <c r="B168" s="122">
        <f>B111&amp;" · "&amp;D111</f>
        <v/>
      </c>
      <c r="C168" s="127">
        <f>IF(C111&gt;0,REPT("█",ROUND(C111/1000,0)),"")</f>
        <v/>
      </c>
      <c r="E168" s="128">
        <f>C111</f>
        <v/>
      </c>
    </row>
    <row r="169">
      <c r="B169" s="122">
        <f>B112&amp;" · "&amp;D112</f>
        <v/>
      </c>
      <c r="C169" s="127">
        <f>IF(C112&gt;0,REPT("█",ROUND(C112/1000,0)),"")</f>
        <v/>
      </c>
      <c r="E169" s="128">
        <f>C112</f>
        <v/>
      </c>
    </row>
    <row r="170">
      <c r="B170" s="0">
        <f>B113&amp;" · "&amp;D113</f>
        <v/>
      </c>
      <c r="C170" s="0">
        <f>IF(C113&gt;0,REPT("█",ROUND(C113/1000,0)),"")</f>
        <v/>
      </c>
      <c r="E170" s="0">
        <f>C113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
  <sheetViews>
    <sheetView showGridLines="0" workbookViewId="0">
      <pane ySplit="6" topLeftCell="A7" activePane="bottomLeft" state="frozen"/>
      <selection pane="bottomLeft" activeCell="A1" sqref="A1"/>
    </sheetView>
  </sheetViews>
  <sheetFormatPr baseColWidth="8" defaultRowHeight="15"/>
  <cols>
    <col width="6" customWidth="1" style="67" min="1" max="1"/>
    <col width="24" customWidth="1" style="67" min="2" max="2"/>
    <col width="30" customWidth="1" style="67" min="3" max="3"/>
    <col width="13" customWidth="1" style="67" min="4" max="4"/>
    <col width="10" customWidth="1" style="67" min="5" max="5"/>
    <col width="13" customWidth="1" style="67" min="6" max="6"/>
    <col width="13" customWidth="1" style="67" min="7" max="7"/>
    <col width="13" customWidth="1" style="67" min="8" max="8"/>
    <col width="14" customWidth="1" style="67" min="9" max="9"/>
    <col width="40" customWidth="1" style="67" min="10" max="10"/>
    <col width="12" customWidth="1" style="67" min="11" max="11"/>
  </cols>
  <sheetData>
    <row r="1" ht="30" customHeight="1" s="67">
      <c r="A1" s="68" t="inlineStr">
        <is>
          <t>🛠 ЛИСТ ВОССТАНОВЛЕНИЯ ФОНДА PH-2026</t>
        </is>
      </c>
    </row>
    <row r="2">
      <c r="A2" s="69" t="inlineStr">
        <is>
          <t>Сколько бы стоило вернуть ушедших — по ценам рынка октября 2026. Коэффициент индексации редактируемый: поменяй — таблица пересчитается.</t>
        </is>
      </c>
    </row>
    <row r="4">
      <c r="A4" s="70" t="inlineStr">
        <is>
          <t>Коэффициент индексации:</t>
        </is>
      </c>
      <c r="D4" s="71" t="n">
        <v>1</v>
      </c>
      <c r="E4" s="72" t="inlineStr">
        <is>
          <t>← редактируй это значение (1,0 = цена приобретения без индексации)</t>
        </is>
      </c>
    </row>
    <row r="6" ht="30" customHeight="1" s="67">
      <c r="A6" s="73" t="inlineStr">
        <is>
          <t>ID</t>
        </is>
      </c>
      <c r="B6" s="73" t="inlineStr">
        <is>
          <t>Устройство</t>
        </is>
      </c>
      <c r="C6" s="73" t="inlineStr">
        <is>
          <t>Обстоятельство утраты</t>
        </is>
      </c>
      <c r="D6" s="73" t="inlineStr">
        <is>
          <t>Цена приобр., ₽</t>
        </is>
      </c>
      <c r="E6" s="73" t="inlineStr">
        <is>
          <t>Год прихода</t>
        </is>
      </c>
      <c r="F6" s="73" t="inlineStr">
        <is>
          <t>Оценка б/у мин, ₽</t>
        </is>
      </c>
      <c r="G6" s="73" t="inlineStr">
        <is>
          <t>Оценка б/у макс, ₽</t>
        </is>
      </c>
      <c r="H6" s="73" t="inlineStr">
        <is>
          <t>Средняя оценка, ₽</t>
        </is>
      </c>
      <c r="I6" s="73" t="inlineStr">
        <is>
          <t>Индексированная, ₽</t>
        </is>
      </c>
      <c r="J6" s="73" t="inlineStr">
        <is>
          <t>Вердикт</t>
        </is>
      </c>
      <c r="K6" s="73" t="inlineStr">
        <is>
          <t>→ Реестр</t>
        </is>
      </c>
    </row>
    <row r="7" ht="26" customHeight="1" s="67">
      <c r="A7" s="74" t="inlineStr">
        <is>
          <t>2</t>
        </is>
      </c>
      <c r="B7" s="75" t="inlineStr">
        <is>
          <t>Lenovo A328</t>
        </is>
      </c>
      <c r="C7" s="76" t="inlineStr">
        <is>
          <t>Ушёл</t>
        </is>
      </c>
      <c r="D7" s="77" t="n">
        <v>4490</v>
      </c>
      <c r="E7" s="74" t="n">
        <v>2014</v>
      </c>
      <c r="F7" s="77" t="n">
        <v>500</v>
      </c>
      <c r="G7" s="77" t="n">
        <v>1200</v>
      </c>
      <c r="H7" s="77">
        <f>(F7+G7)/2</f>
        <v/>
      </c>
      <c r="I7" s="77">
        <f>D7*$D$4</f>
        <v/>
      </c>
      <c r="J7" s="78" t="inlineStr">
        <is>
          <t>Ушёл в добрые руки — вернуть можно, покупка б/у</t>
        </is>
      </c>
      <c r="K7" s="79" t="inlineStr">
        <is>
          <t>открыть ▸</t>
        </is>
      </c>
    </row>
    <row r="8" ht="26" customHeight="1" s="67">
      <c r="A8" s="80" t="inlineStr">
        <is>
          <t>2b</t>
        </is>
      </c>
      <c r="B8" s="81" t="inlineStr">
        <is>
          <t>Lenovo Tab 2 A10-70L</t>
        </is>
      </c>
      <c r="C8" s="82" t="inlineStr">
        <is>
          <t>Убит яростью</t>
        </is>
      </c>
      <c r="D8" s="83" t="n">
        <v>17990</v>
      </c>
      <c r="E8" s="80" t="n">
        <v>2015</v>
      </c>
      <c r="F8" s="83" t="n">
        <v>1500</v>
      </c>
      <c r="G8" s="83" t="n">
        <v>3000</v>
      </c>
      <c r="H8" s="83">
        <f>(F8+G8)/2</f>
        <v/>
      </c>
      <c r="I8" s="83">
        <f>D8*$D$4</f>
        <v/>
      </c>
      <c r="J8" s="84" t="inlineStr">
        <is>
          <t>Убит яростью: живой корпус найден, но с трещинами истории</t>
        </is>
      </c>
      <c r="K8" s="85" t="inlineStr">
        <is>
          <t>открыть ▸</t>
        </is>
      </c>
    </row>
    <row r="9" ht="26" customHeight="1" s="67">
      <c r="A9" s="74" t="inlineStr">
        <is>
          <t>2c</t>
        </is>
      </c>
      <c r="B9" s="75" t="inlineStr">
        <is>
          <t>Sony Xperia Z1 (C6903)</t>
        </is>
      </c>
      <c r="C9" s="76" t="inlineStr">
        <is>
          <t>Ушёл</t>
        </is>
      </c>
      <c r="D9" s="77" t="n"/>
      <c r="E9" s="74" t="n">
        <v>2018</v>
      </c>
      <c r="F9" s="77" t="n">
        <v>3000</v>
      </c>
      <c r="G9" s="77" t="n">
        <v>8000</v>
      </c>
      <c r="H9" s="77">
        <f>(F9+G9)/2</f>
        <v/>
      </c>
      <c r="I9" s="77">
        <f>D9*$D$4</f>
        <v/>
      </c>
      <c r="J9" s="78" t="inlineStr">
        <is>
          <t>Восстановим: на рынке живые, от ломбарда до полного комплекта</t>
        </is>
      </c>
      <c r="K9" s="79" t="inlineStr">
        <is>
          <t>открыть ▸</t>
        </is>
      </c>
    </row>
    <row r="10" ht="26" customHeight="1" s="67">
      <c r="A10" s="80" t="inlineStr">
        <is>
          <t>3</t>
        </is>
      </c>
      <c r="B10" s="81" t="inlineStr">
        <is>
          <t>BQ-5035 Velvet</t>
        </is>
      </c>
      <c r="C10" s="82" t="inlineStr">
        <is>
          <t>Бесследно утерян</t>
        </is>
      </c>
      <c r="D10" s="83" t="n">
        <v>4190</v>
      </c>
      <c r="E10" s="80" t="n">
        <v>2017</v>
      </c>
      <c r="F10" s="83" t="n">
        <v>500</v>
      </c>
      <c r="G10" s="83" t="n">
        <v>1200</v>
      </c>
      <c r="H10" s="83">
        <f>(F10+G10)/2</f>
        <v/>
      </c>
      <c r="I10" s="83">
        <f>D10*$D$4</f>
        <v/>
      </c>
      <c r="J10" s="84" t="inlineStr">
        <is>
          <t>Бесследно утерян — «Парк» молчит. Шансы исчезающи</t>
        </is>
      </c>
      <c r="K10" s="85" t="inlineStr">
        <is>
          <t>открыть ▸</t>
        </is>
      </c>
    </row>
    <row r="11" ht="26" customHeight="1" s="67">
      <c r="A11" s="74" t="inlineStr">
        <is>
          <t>4</t>
        </is>
      </c>
      <c r="B11" s="75" t="inlineStr">
        <is>
          <t>BQ Strike</t>
        </is>
      </c>
      <c r="C11" s="76" t="inlineStr">
        <is>
          <t>Источник «грязного провода»</t>
        </is>
      </c>
      <c r="D11" s="77" t="n">
        <v>2500</v>
      </c>
      <c r="E11" s="74" t="n">
        <v>2016</v>
      </c>
      <c r="F11" s="77" t="n">
        <v>500</v>
      </c>
      <c r="G11" s="77" t="n">
        <v>1200</v>
      </c>
      <c r="H11" s="77">
        <f>(F11+G11)/2</f>
        <v/>
      </c>
      <c r="I11" s="77">
        <f>D11*$D$4</f>
        <v/>
      </c>
      <c r="J11" s="86" t="inlineStr">
        <is>
          <t>Источник «грязного провода»: сам ушёл — сам и виноват</t>
        </is>
      </c>
      <c r="K11" s="79" t="inlineStr">
        <is>
          <t>открыть ▸</t>
        </is>
      </c>
    </row>
    <row r="12" ht="26" customHeight="1" s="67">
      <c r="A12" s="80" t="inlineStr">
        <is>
          <t>5</t>
        </is>
      </c>
      <c r="B12" s="81" t="inlineStr">
        <is>
          <t>Infinix Hot 11</t>
        </is>
      </c>
      <c r="C12" s="82" t="inlineStr">
        <is>
          <t>Умер от грязного провода</t>
        </is>
      </c>
      <c r="D12" s="83" t="n">
        <v>11000</v>
      </c>
      <c r="E12" s="80" t="n">
        <v>2021</v>
      </c>
      <c r="F12" s="83" t="n">
        <v>5000</v>
      </c>
      <c r="G12" s="83" t="n">
        <v>6600</v>
      </c>
      <c r="H12" s="83">
        <f>(F12+G12)/2</f>
        <v/>
      </c>
      <c r="I12" s="83">
        <f>D12*$D$4</f>
        <v/>
      </c>
      <c r="J12" s="84" t="inlineStr">
        <is>
          <t>Умер от грязного провода — воскрешение возможно только б/у</t>
        </is>
      </c>
      <c r="K12" s="85" t="inlineStr">
        <is>
          <t>открыть ▸</t>
        </is>
      </c>
    </row>
    <row r="13" ht="26" customHeight="1" s="67">
      <c r="A13" s="74" t="inlineStr">
        <is>
          <t>6b</t>
        </is>
      </c>
      <c r="B13" s="75" t="inlineStr">
        <is>
          <t>Honor X7c</t>
        </is>
      </c>
      <c r="C13" s="76" t="inlineStr">
        <is>
          <t>Ушёл по невыгодному обмену</t>
        </is>
      </c>
      <c r="D13" s="77" t="n">
        <v>0</v>
      </c>
      <c r="E13" s="74" t="n">
        <v>2024</v>
      </c>
      <c r="F13" s="77" t="n">
        <v>6000</v>
      </c>
      <c r="G13" s="77" t="n">
        <v>9000</v>
      </c>
      <c r="H13" s="77">
        <f>(F13+G13)/2</f>
        <v/>
      </c>
      <c r="I13" s="77">
        <f>IF(D13="","",D13*$D$4)</f>
        <v/>
      </c>
      <c r="J13" s="78" t="inlineStr">
        <is>
          <t>Ушёл по невыгодному обмену — обмен всё ещё невыгоден</t>
        </is>
      </c>
      <c r="K13" s="79" t="inlineStr">
        <is>
          <t>открыть ▸</t>
        </is>
      </c>
    </row>
    <row r="14" ht="26" customHeight="1" s="67">
      <c r="A14" s="80" t="inlineStr">
        <is>
          <t>7</t>
        </is>
      </c>
      <c r="B14" s="81" t="inlineStr">
        <is>
          <t>P901 (OPPO CPH1821EX)</t>
        </is>
      </c>
      <c r="C14" s="82" t="inlineStr">
        <is>
          <t>Изгнан</t>
        </is>
      </c>
      <c r="D14" s="83" t="n">
        <v>6818</v>
      </c>
      <c r="E14" s="80" t="n">
        <v>2023</v>
      </c>
      <c r="F14" s="83" t="n">
        <v>2000</v>
      </c>
      <c r="G14" s="83" t="n">
        <v>3500</v>
      </c>
      <c r="H14" s="83">
        <f>(F14+G14)/2</f>
        <v/>
      </c>
      <c r="I14" s="83">
        <f>D14*$D$4</f>
        <v/>
      </c>
      <c r="J14" s="87" t="inlineStr">
        <is>
          <t>Изгнан — восстановить можно, но зачем</t>
        </is>
      </c>
      <c r="K14" s="85" t="inlineStr">
        <is>
          <t>открыть ▸</t>
        </is>
      </c>
    </row>
    <row r="15" ht="26" customHeight="1" s="67">
      <c r="A15" s="74" t="inlineStr">
        <is>
          <t>9</t>
        </is>
      </c>
      <c r="B15" s="75" t="inlineStr">
        <is>
          <t>Samsung S25+</t>
        </is>
      </c>
      <c r="C15" s="76" t="inlineStr">
        <is>
          <t>Продан ради съёмного дома</t>
        </is>
      </c>
      <c r="D15" s="77" t="n">
        <v>90000</v>
      </c>
      <c r="E15" s="74" t="n">
        <v>2026</v>
      </c>
      <c r="F15" s="77" t="n">
        <v>80000</v>
      </c>
      <c r="G15" s="77" t="n">
        <v>100000</v>
      </c>
      <c r="H15" s="77">
        <f>(F15+G15)/2</f>
        <v/>
      </c>
      <c r="I15" s="77">
        <f>D15*$D$4</f>
        <v/>
      </c>
      <c r="J15" s="78" t="inlineStr">
        <is>
          <t>Продан ради съёмного дома: восстановление дороже смысла</t>
        </is>
      </c>
      <c r="K15" s="79" t="inlineStr">
        <is>
          <t>открыть ▸</t>
        </is>
      </c>
    </row>
    <row r="16" ht="26" customHeight="1" s="67">
      <c r="A16" s="80" t="inlineStr">
        <is>
          <t>10</t>
        </is>
      </c>
      <c r="B16" s="81" t="inlineStr">
        <is>
          <t>iPhone 17 Pro Max</t>
        </is>
      </c>
      <c r="C16" s="82" t="inlineStr">
        <is>
          <t>Продан ради съёмного дома</t>
        </is>
      </c>
      <c r="D16" s="83" t="n">
        <v>138020</v>
      </c>
      <c r="E16" s="80" t="n">
        <v>2026</v>
      </c>
      <c r="F16" s="83" t="n">
        <v>120000</v>
      </c>
      <c r="G16" s="83" t="n">
        <v>160000</v>
      </c>
      <c r="H16" s="83">
        <f>(F16+G16)/2</f>
        <v/>
      </c>
      <c r="I16" s="83">
        <f>D16*$D$4</f>
        <v/>
      </c>
      <c r="J16" s="87" t="inlineStr">
        <is>
          <t>Продан ради съёмного дома: восстановим только вместе с домом</t>
        </is>
      </c>
      <c r="K16" s="85" t="inlineStr">
        <is>
          <t>открыть ▸</t>
        </is>
      </c>
    </row>
    <row r="17" ht="26" customHeight="1" s="67">
      <c r="A17" s="74" t="inlineStr">
        <is>
          <t>11</t>
        </is>
      </c>
      <c r="B17" s="75" t="inlineStr">
        <is>
          <t>Soyes F8 Pro Max</t>
        </is>
      </c>
      <c r="C17" s="76" t="inlineStr">
        <is>
          <t>Бартер за наушники</t>
        </is>
      </c>
      <c r="D17" s="77" t="n">
        <v>2500</v>
      </c>
      <c r="E17" s="74" t="n">
        <v>2026</v>
      </c>
      <c r="F17" s="77" t="n">
        <v>1500</v>
      </c>
      <c r="G17" s="77" t="n">
        <v>3000</v>
      </c>
      <c r="H17" s="77">
        <f>(F17+G17)/2</f>
        <v/>
      </c>
      <c r="I17" s="77">
        <f>D17*$D$4</f>
        <v/>
      </c>
      <c r="J17" s="78" t="inlineStr">
        <is>
          <t>Бартер за наушники: обратный обмен маловероятен</t>
        </is>
      </c>
      <c r="K17" s="79" t="inlineStr">
        <is>
          <t>открыть ▸</t>
        </is>
      </c>
    </row>
    <row r="18" ht="26" customHeight="1" s="67">
      <c r="A18" s="80" t="inlineStr">
        <is>
          <t>13</t>
        </is>
      </c>
      <c r="B18" s="81" t="inlineStr">
        <is>
          <t>Realme C75</t>
        </is>
      </c>
      <c r="C18" s="82" t="inlineStr">
        <is>
          <t>Найден убитым</t>
        </is>
      </c>
      <c r="D18" s="83" t="n">
        <v>0</v>
      </c>
      <c r="E18" s="80" t="n">
        <v>2026</v>
      </c>
      <c r="F18" s="83" t="n">
        <v>6000</v>
      </c>
      <c r="G18" s="83" t="n">
        <v>9000</v>
      </c>
      <c r="H18" s="83">
        <f>(F18+G18)/2</f>
        <v/>
      </c>
      <c r="I18" s="83">
        <f>D18*$D$4</f>
        <v/>
      </c>
      <c r="J18" s="84" t="inlineStr">
        <is>
          <t>Найден убитым, бесплатно. Второй раз бесплатно не найдётся</t>
        </is>
      </c>
      <c r="K18" s="85" t="inlineStr">
        <is>
          <t>открыть ▸</t>
        </is>
      </c>
    </row>
    <row r="19" ht="26" customHeight="1" s="67">
      <c r="A19" s="74" t="inlineStr">
        <is>
          <t>17</t>
        </is>
      </c>
      <c r="B19" s="75" t="inlineStr">
        <is>
          <t>Xiaomi Pad 7</t>
        </is>
      </c>
      <c r="C19" s="76" t="inlineStr">
        <is>
          <t>Статус не присвоен</t>
        </is>
      </c>
      <c r="D19" s="77" t="n">
        <v>36000</v>
      </c>
      <c r="E19" s="74" t="n">
        <v>2026</v>
      </c>
      <c r="F19" s="77" t="n">
        <v>25000</v>
      </c>
      <c r="G19" s="77" t="n">
        <v>32000</v>
      </c>
      <c r="H19" s="77">
        <f>(F19+G19)/2</f>
        <v/>
      </c>
      <c r="I19" s="77">
        <f>D19*$D$4</f>
        <v/>
      </c>
      <c r="J19" s="86" t="inlineStr">
        <is>
          <t>Статус не присвоен — восстановим, пока он окончательно не ушёл</t>
        </is>
      </c>
      <c r="K19" s="79" t="inlineStr">
        <is>
          <t>открыть ▸</t>
        </is>
      </c>
    </row>
    <row r="20" ht="26" customHeight="1" s="67">
      <c r="A20" s="80" t="inlineStr">
        <is>
          <t>19</t>
        </is>
      </c>
      <c r="B20" s="81" t="inlineStr">
        <is>
          <t>Redmi Note 13 5G</t>
        </is>
      </c>
      <c r="C20" s="82" t="inlineStr">
        <is>
          <t>ВЫЧЕРКНУТ</t>
        </is>
      </c>
      <c r="D20" s="83" t="n">
        <v>15473</v>
      </c>
      <c r="E20" s="80" t="n">
        <v>2026</v>
      </c>
      <c r="F20" s="83" t="n">
        <v>8000</v>
      </c>
      <c r="G20" s="83" t="n">
        <v>12000</v>
      </c>
      <c r="H20" s="83">
        <f>(F20+G20)/2</f>
        <v/>
      </c>
      <c r="I20" s="83">
        <f>D20*$D$4</f>
        <v/>
      </c>
      <c r="J20" s="84" t="inlineStr">
        <is>
          <t>ВЫЧЕРКНУТ из хроники — но рынок его помнит</t>
        </is>
      </c>
      <c r="K20" s="85" t="inlineStr">
        <is>
          <t>открыть ▸</t>
        </is>
      </c>
    </row>
    <row r="21" ht="24" customHeight="1" s="67">
      <c r="A21" s="88" t="n"/>
      <c r="B21" s="88" t="n"/>
      <c r="C21" s="89" t="inlineStr">
        <is>
          <t>ИТОГО по всем ушедшим</t>
        </is>
      </c>
      <c r="D21" s="88" t="n"/>
      <c r="E21" s="88" t="n"/>
      <c r="F21" s="90">
        <f>SUM(F7:F20)</f>
        <v/>
      </c>
      <c r="G21" s="90">
        <f>SUM(G7:G20)</f>
        <v/>
      </c>
      <c r="H21" s="90">
        <f>SUM(H7:H20)</f>
        <v/>
      </c>
      <c r="I21" s="90">
        <f>SUM(I7:I20)</f>
        <v/>
      </c>
      <c r="J21" s="88" t="n"/>
      <c r="K21" s="88" t="n"/>
    </row>
    <row r="23" ht="24" customHeight="1" s="67">
      <c r="A23" s="91" t="inlineStr">
        <is>
          <t>Методика: 2 позиции сверены с живыми объявлениями (Авито, октябрь 2026) — Hot 11 4/128, Lenovo Tab 2 A10-70L; остальные — экспертная оценка по аналогам того же класса. № 2c (Xperia Z1) — сверка с живыми объявлениями не проводилась.</t>
        </is>
      </c>
    </row>
    <row r="24" ht="24" customHeight="1" s="67">
      <c r="A24" s="91" t="inlineStr">
        <is>
          <t>Оценки — диапазон «мин–макс» по состоянию «рабочий, без критических дефектов». Средняя — база для бюджета восстановления.</t>
        </is>
      </c>
    </row>
    <row r="25" ht="24" customHeight="1" s="67">
      <c r="A25" s="91" t="inlineStr">
        <is>
          <t>«Продан ради съёмного дома» — восстановление считается теоретически: добровольная утрата восполнима только кошельком.</t>
        </is>
      </c>
    </row>
    <row r="26" ht="24" customHeight="1" s="67">
      <c r="A26" s="91" t="inlineStr">
        <is>
          <t>Лист построен 15.10.2026, 18:50 · Алиса AI · фонд PH-2026</t>
        </is>
      </c>
    </row>
  </sheetData>
  <mergeCells count="7">
    <mergeCell ref="A26:K26"/>
    <mergeCell ref="A25:K25"/>
    <mergeCell ref="A24:K24"/>
    <mergeCell ref="A2:K2"/>
    <mergeCell ref="E4:K4"/>
    <mergeCell ref="A1:K1"/>
    <mergeCell ref="A23:K23"/>
  </mergeCells>
  <hyperlinks>
    <hyperlink xmlns:r="http://schemas.openxmlformats.org/officeDocument/2006/relationships" ref="K7" r:id="rId1"/>
    <hyperlink xmlns:r="http://schemas.openxmlformats.org/officeDocument/2006/relationships" ref="K8" r:id="rId2"/>
    <hyperlink xmlns:r="http://schemas.openxmlformats.org/officeDocument/2006/relationships" ref="K9" r:id="rId3"/>
    <hyperlink xmlns:r="http://schemas.openxmlformats.org/officeDocument/2006/relationships" ref="K10" r:id="rId4"/>
    <hyperlink xmlns:r="http://schemas.openxmlformats.org/officeDocument/2006/relationships" ref="K11" r:id="rId5"/>
    <hyperlink xmlns:r="http://schemas.openxmlformats.org/officeDocument/2006/relationships" ref="K12" r:id="rId6"/>
    <hyperlink xmlns:r="http://schemas.openxmlformats.org/officeDocument/2006/relationships" ref="K13" r:id="rId7"/>
    <hyperlink xmlns:r="http://schemas.openxmlformats.org/officeDocument/2006/relationships" ref="K14" r:id="rId8"/>
    <hyperlink xmlns:r="http://schemas.openxmlformats.org/officeDocument/2006/relationships" ref="K15" r:id="rId9"/>
    <hyperlink xmlns:r="http://schemas.openxmlformats.org/officeDocument/2006/relationships" ref="K16" r:id="rId10"/>
    <hyperlink xmlns:r="http://schemas.openxmlformats.org/officeDocument/2006/relationships" ref="K17" r:id="rId11"/>
    <hyperlink xmlns:r="http://schemas.openxmlformats.org/officeDocument/2006/relationships" ref="K18" r:id="rId12"/>
    <hyperlink xmlns:r="http://schemas.openxmlformats.org/officeDocument/2006/relationships" ref="K19" r:id="rId13"/>
    <hyperlink xmlns:r="http://schemas.openxmlformats.org/officeDocument/2006/relationships" ref="K20"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5"/>
  <sheetViews>
    <sheetView showGridLines="0" workbookViewId="0">
      <pane ySplit="4" topLeftCell="A5" activePane="bottomLeft" state="frozen"/>
      <selection pane="bottomLeft" activeCell="A1" sqref="A1"/>
    </sheetView>
  </sheetViews>
  <sheetFormatPr baseColWidth="8" defaultColWidth="10" defaultRowHeight="15"/>
  <cols>
    <col width="10" customWidth="1" style="67" min="2" max="2"/>
    <col width="10" customWidth="1" style="67" min="3" max="3"/>
    <col width="100" customWidth="1" style="67" min="4" max="4"/>
  </cols>
  <sheetData>
    <row r="2" ht="26" customHeight="1" s="67">
      <c r="B2" s="94" t="inlineStr">
        <is>
          <t>ХРОНОЛОГИЯ ВЛАДЕНИЯ · 2007–2026</t>
        </is>
      </c>
    </row>
    <row r="3" ht="14" customHeight="1" s="67">
      <c r="B3" s="95" t="inlineStr">
        <is>
          <t>приходы по годам · отказные заказы (7 записей) приходами не считаются</t>
        </is>
      </c>
    </row>
    <row r="4" ht="20" customHeight="1" s="67">
      <c r="B4" s="96" t="inlineStr">
        <is>
          <t>Год</t>
        </is>
      </c>
      <c r="C4" s="96" t="inlineStr">
        <is>
          <t>Пришло</t>
        </is>
      </c>
      <c r="D4" s="96" t="inlineStr">
        <is>
          <t>Устройства</t>
        </is>
      </c>
    </row>
    <row r="5" ht="18" customHeight="1" s="67">
      <c r="B5" s="97" t="n">
        <v>2007</v>
      </c>
      <c r="C5" s="98">
        <f>SUMPRODUCT((Реестр!$E$2:$E$36=B5)*(LEFT(Реестр!$Q$2:$Q$36&amp;"",5)&lt;&gt;"Отказ"))</f>
        <v/>
      </c>
      <c r="D5" s="99" t="inlineStr">
        <is>
          <t>№ 0a · Samsung SGH-C130</t>
        </is>
      </c>
    </row>
    <row r="6">
      <c r="B6" s="100" t="n">
        <v>2008</v>
      </c>
      <c r="C6" s="101">
        <f>SUMPRODUCT((Реестр!$E$2:$E$36=B6)*(LEFT(Реестр!$Q$2:$Q$36&amp;"",5)&lt;&gt;"Отказ"))</f>
        <v/>
      </c>
      <c r="D6" s="102" t="inlineStr">
        <is>
          <t>—</t>
        </is>
      </c>
    </row>
    <row r="7">
      <c r="B7" s="97" t="n">
        <v>2009</v>
      </c>
      <c r="C7" s="98">
        <f>SUMPRODUCT((Реестр!$E$2:$E$36=B7)*(LEFT(Реестр!$Q$2:$Q$36&amp;"",5)&lt;&gt;"Отказ"))</f>
        <v/>
      </c>
      <c r="D7" s="103" t="inlineStr">
        <is>
          <t>—</t>
        </is>
      </c>
    </row>
    <row r="8" ht="18" customHeight="1" s="67">
      <c r="B8" s="100" t="n">
        <v>2010</v>
      </c>
      <c r="C8" s="101">
        <f>SUMPRODUCT((Реестр!$E$2:$E$36=B8)*(LEFT(Реестр!$Q$2:$Q$36&amp;"",5)&lt;&gt;"Отказ"))</f>
        <v/>
      </c>
      <c r="D8" s="104" t="inlineStr">
        <is>
          <t>№ 0b · Samsung E250; № 0c · Nokia 6300; № 0d · Безымянные кнопочные</t>
        </is>
      </c>
    </row>
    <row r="9">
      <c r="B9" s="97" t="n">
        <v>2011</v>
      </c>
      <c r="C9" s="98">
        <f>SUMPRODUCT((Реестр!$E$2:$E$36=B9)*(LEFT(Реестр!$Q$2:$Q$36&amp;"",5)&lt;&gt;"Отказ"))</f>
        <v/>
      </c>
      <c r="D9" s="103" t="inlineStr">
        <is>
          <t>—</t>
        </is>
      </c>
    </row>
    <row r="10" ht="18" customHeight="1" s="67">
      <c r="B10" s="100" t="n">
        <v>2012</v>
      </c>
      <c r="C10" s="101">
        <f>SUMPRODUCT((Реестр!$E$2:$E$36=B10)*(LEFT(Реестр!$Q$2:$Q$36&amp;"",5)&lt;&gt;"Отказ"))</f>
        <v/>
      </c>
      <c r="D10" s="104" t="inlineStr">
        <is>
          <t>№ 1 · Samsung Galaxy Mini 2</t>
        </is>
      </c>
    </row>
    <row r="11">
      <c r="B11" s="97" t="n">
        <v>2013</v>
      </c>
      <c r="C11" s="98">
        <f>SUMPRODUCT((Реестр!$E$2:$E$36=B11)*(LEFT(Реестр!$Q$2:$Q$36&amp;"",5)&lt;&gt;"Отказ"))</f>
        <v/>
      </c>
      <c r="D11" s="103" t="inlineStr">
        <is>
          <t>—</t>
        </is>
      </c>
    </row>
    <row r="12" ht="18" customHeight="1" s="67">
      <c r="B12" s="100" t="n">
        <v>2014</v>
      </c>
      <c r="C12" s="101">
        <f>SUMPRODUCT((Реестр!$E$2:$E$36=B12)*(LEFT(Реестр!$Q$2:$Q$36&amp;"",5)&lt;&gt;"Отказ"))</f>
        <v/>
      </c>
      <c r="D12" s="104" t="inlineStr">
        <is>
          <t>№ 2 · Lenovo A328</t>
        </is>
      </c>
    </row>
    <row r="13" ht="18" customHeight="1" s="67">
      <c r="B13" s="97" t="n">
        <v>2015</v>
      </c>
      <c r="C13" s="98">
        <f>SUMPRODUCT((Реестр!$E$2:$E$36=B13)*(LEFT(Реестр!$Q$2:$Q$36&amp;"",5)&lt;&gt;"Отказ"))</f>
        <v/>
      </c>
      <c r="D13" s="99" t="inlineStr">
        <is>
          <t>№ 2b · Lenovo Tab 2 A10-70L</t>
        </is>
      </c>
    </row>
    <row r="14" ht="18" customHeight="1" s="67">
      <c r="B14" s="100" t="n">
        <v>2016</v>
      </c>
      <c r="C14" s="101">
        <f>SUMPRODUCT((Реестр!$E$2:$E$36=B14)*(LEFT(Реестр!$Q$2:$Q$36&amp;"",5)&lt;&gt;"Отказ"))</f>
        <v/>
      </c>
      <c r="D14" s="104" t="inlineStr">
        <is>
          <t>№ 4 · BQ Strike</t>
        </is>
      </c>
    </row>
    <row r="15" ht="18" customHeight="1" s="67">
      <c r="B15" s="97" t="n">
        <v>2017</v>
      </c>
      <c r="C15" s="98">
        <f>SUMPRODUCT((Реестр!$E$2:$E$36=B15)*(LEFT(Реестр!$Q$2:$Q$36&amp;"",5)&lt;&gt;"Отказ"))</f>
        <v/>
      </c>
      <c r="D15" s="99" t="inlineStr">
        <is>
          <t>№ 3 · BQ-5035 Velvet</t>
        </is>
      </c>
    </row>
    <row r="16" ht="18" customHeight="1" s="67">
      <c r="B16" s="100" t="n">
        <v>2018</v>
      </c>
      <c r="C16" s="101">
        <f>SUMPRODUCT((Реестр!$E$2:$E$36=B16)*(LEFT(Реестр!$Q$2:$Q$36&amp;"",5)&lt;&gt;"Отказ"))</f>
        <v/>
      </c>
      <c r="D16" s="104" t="inlineStr">
        <is>
          <t>№ 2c · Sony Xperia Z1</t>
        </is>
      </c>
    </row>
    <row r="17">
      <c r="B17" s="97" t="n">
        <v>2019</v>
      </c>
      <c r="C17" s="98">
        <f>SUMPRODUCT((Реестр!$E$2:$E$36=B17)*(LEFT(Реестр!$Q$2:$Q$36&amp;"",5)&lt;&gt;"Отказ"))</f>
        <v/>
      </c>
      <c r="D17" s="103" t="inlineStr">
        <is>
          <t>—</t>
        </is>
      </c>
    </row>
    <row r="18">
      <c r="B18" s="100" t="n">
        <v>2020</v>
      </c>
      <c r="C18" s="101">
        <f>SUMPRODUCT((Реестр!$E$2:$E$36=B18)*(LEFT(Реестр!$Q$2:$Q$36&amp;"",5)&lt;&gt;"Отказ"))</f>
        <v/>
      </c>
      <c r="D18" s="102" t="inlineStr">
        <is>
          <t>—</t>
        </is>
      </c>
    </row>
    <row r="19" ht="18" customHeight="1" s="67">
      <c r="B19" s="97" t="n">
        <v>2021</v>
      </c>
      <c r="C19" s="98">
        <f>SUMPRODUCT((Реестр!$E$2:$E$36=B19)*(LEFT(Реестр!$Q$2:$Q$36&amp;"",5)&lt;&gt;"Отказ"))</f>
        <v/>
      </c>
      <c r="D19" s="99" t="inlineStr">
        <is>
          <t>№ 5 · Infinix Hot 11</t>
        </is>
      </c>
    </row>
    <row r="20">
      <c r="B20" s="100" t="n">
        <v>2022</v>
      </c>
      <c r="C20" s="101">
        <f>SUMPRODUCT((Реестр!$E$2:$E$36=B20)*(LEFT(Реестр!$Q$2:$Q$36&amp;"",5)&lt;&gt;"Отказ"))</f>
        <v/>
      </c>
      <c r="D20" s="102" t="inlineStr">
        <is>
          <t>—</t>
        </is>
      </c>
    </row>
    <row r="21" ht="18" customHeight="1" s="67">
      <c r="B21" s="97" t="n">
        <v>2023</v>
      </c>
      <c r="C21" s="98">
        <f>SUMPRODUCT((Реестр!$E$2:$E$36=B21)*(LEFT(Реестр!$Q$2:$Q$36&amp;"",5)&lt;&gt;"Отказ"))</f>
        <v/>
      </c>
      <c r="D21" s="99" t="inlineStr">
        <is>
          <t>№ 7 · P901 (OPPO CPH1821EX); № 8 · Infinix Hot 30 Play</t>
        </is>
      </c>
    </row>
    <row r="22" ht="18" customHeight="1" s="67">
      <c r="B22" s="100" t="n">
        <v>2024</v>
      </c>
      <c r="C22" s="101">
        <f>SUMPRODUCT((Реестр!$E$2:$E$36=B22)*(LEFT(Реестр!$Q$2:$Q$36&amp;"",5)&lt;&gt;"Отказ"))</f>
        <v/>
      </c>
      <c r="D22" s="104" t="inlineStr">
        <is>
          <t>№ 6b · Honor X7c</t>
        </is>
      </c>
    </row>
    <row r="23" ht="18" customHeight="1" s="67">
      <c r="B23" s="97" t="n">
        <v>2025</v>
      </c>
      <c r="C23" s="98">
        <f>SUMPRODUCT((Реестр!$E$2:$E$36=B23)*(LEFT(Реестр!$Q$2:$Q$36&amp;"",5)&lt;&gt;"Отказ"))</f>
        <v/>
      </c>
      <c r="D23" s="99" t="inlineStr">
        <is>
          <t>№ 6 · Infinix Hot 20i (X665E); № 21 · TeXet TM-130</t>
        </is>
      </c>
    </row>
    <row r="24" ht="52" customHeight="1" s="67">
      <c r="B24" s="100" t="n">
        <v>2026</v>
      </c>
      <c r="C24" s="101">
        <f>SUMPRODUCT((Реестр!$E$2:$E$36=B24)*(LEFT(Реестр!$Q$2:$Q$36&amp;"",5)&lt;&gt;"Отказ"))</f>
        <v/>
      </c>
      <c r="D24" s="104" t="inlineStr">
        <is>
          <t>№ 9 · Samsung S25+; № 10 · iPhone 17 Pro Max; № 11 · Soyes F8 Pro Max; № 12 · Nokia 6300 (Silver); № 13 · Realme C75; № 14 · POCO F9 Ultra; № 14.3 · Xiaomi HyperCharge Power Bank 25000 (212 Вт); № 14A · OnePlus 15 (CPH2749); № 17 · Xiaomi Pad 7; № 18 · Philips Xenium X175; № 19 · Redmi Note 13 5G; № 20 · Infinix GT 30 Pro</t>
        </is>
      </c>
    </row>
    <row r="25">
      <c r="B25" s="105" t="inlineStr">
        <is>
          <t>Итого</t>
        </is>
      </c>
      <c r="C25" s="105">
        <f>SUM(C5:C24)</f>
        <v/>
      </c>
      <c r="D25" s="106" t="inlineStr">
        <is>
          <t>экспонатов фонда пришло за 20 лет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2026-10-15T12:28:49Z</dcterms:created>
  <dcterms:modified xmlns:dcterms="http://purl.org/dc/terms/" xmlns:xsi="http://www.w3.org/2001/XMLSchema-instance" xsi:type="dcterms:W3CDTF">2026-10-20T09:11:36Z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4aedce2b29644cebbd0f8dcf0af07791</vt:lpwstr>
  </property>
</Properties>
</file>